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rha\Downloads\"/>
    </mc:Choice>
  </mc:AlternateContent>
  <xr:revisionPtr revIDLastSave="0" documentId="13_ncr:1_{F7016DFA-4F48-46BE-9F1C-460EC170B3F5}" xr6:coauthVersionLast="47" xr6:coauthVersionMax="47" xr10:uidLastSave="{00000000-0000-0000-0000-000000000000}"/>
  <bookViews>
    <workbookView xWindow="-110" yWindow="-110" windowWidth="19420" windowHeight="10300" activeTab="5" xr2:uid="{C30A94EE-20EE-41BA-B0A0-0871DAA27A68}"/>
  </bookViews>
  <sheets>
    <sheet name="Sheet1" sheetId="1" r:id="rId1"/>
    <sheet name="Sheet2" sheetId="2" r:id="rId2"/>
    <sheet name="Sheet3" sheetId="4" r:id="rId3"/>
    <sheet name="Sheet4" sheetId="5" r:id="rId4"/>
    <sheet name="Sheet5" sheetId="6" r:id="rId5"/>
    <sheet name="Sheet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3" i="7" l="1"/>
  <c r="I44" i="7"/>
  <c r="I45" i="7"/>
  <c r="I46" i="7"/>
  <c r="I47" i="7"/>
  <c r="I48" i="7"/>
  <c r="I42" i="7"/>
  <c r="H43" i="7"/>
  <c r="H44" i="7"/>
  <c r="H45" i="7"/>
  <c r="H46" i="7"/>
  <c r="H47" i="7"/>
  <c r="H48" i="7"/>
  <c r="H42" i="7"/>
  <c r="G43" i="7"/>
  <c r="G44" i="7"/>
  <c r="G45" i="7"/>
  <c r="G46" i="7"/>
  <c r="G47" i="7"/>
  <c r="G48" i="7"/>
  <c r="G42" i="7"/>
  <c r="F43" i="7"/>
  <c r="F44" i="7"/>
  <c r="F45" i="7"/>
  <c r="F46" i="7"/>
  <c r="F47" i="7"/>
  <c r="F48" i="7"/>
  <c r="F42" i="7"/>
  <c r="E43" i="7"/>
  <c r="E44" i="7"/>
  <c r="E45" i="7"/>
  <c r="E46" i="7"/>
  <c r="E47" i="7"/>
  <c r="E48" i="7"/>
  <c r="E42" i="7"/>
  <c r="D43" i="7"/>
  <c r="D44" i="7"/>
  <c r="D45" i="7"/>
  <c r="D46" i="7"/>
  <c r="D47" i="7"/>
  <c r="D48" i="7"/>
  <c r="D42" i="7"/>
  <c r="C43" i="7"/>
  <c r="C44" i="7"/>
  <c r="C45" i="7"/>
  <c r="C46" i="7"/>
  <c r="C47" i="7"/>
  <c r="C48" i="7"/>
  <c r="C42" i="7"/>
  <c r="C36" i="7" a="1"/>
  <c r="C36" i="7" s="1"/>
  <c r="I35" i="7"/>
  <c r="H35" i="7"/>
  <c r="G35" i="7"/>
  <c r="F35" i="7"/>
  <c r="E35" i="7"/>
  <c r="D35" i="7"/>
  <c r="C35" i="7"/>
  <c r="I29" i="7"/>
  <c r="I30" i="7"/>
  <c r="I31" i="7"/>
  <c r="I32" i="7"/>
  <c r="I33" i="7"/>
  <c r="I34" i="7"/>
  <c r="I28" i="7"/>
  <c r="H29" i="7"/>
  <c r="H30" i="7"/>
  <c r="H31" i="7"/>
  <c r="H32" i="7"/>
  <c r="H33" i="7"/>
  <c r="H34" i="7"/>
  <c r="H28" i="7"/>
  <c r="G29" i="7"/>
  <c r="G30" i="7"/>
  <c r="G31" i="7"/>
  <c r="G32" i="7"/>
  <c r="G33" i="7"/>
  <c r="G34" i="7"/>
  <c r="G28" i="7"/>
  <c r="F29" i="7"/>
  <c r="F30" i="7"/>
  <c r="F31" i="7"/>
  <c r="F32" i="7"/>
  <c r="F33" i="7"/>
  <c r="F34" i="7"/>
  <c r="F28" i="7"/>
  <c r="E29" i="7"/>
  <c r="E30" i="7"/>
  <c r="E31" i="7"/>
  <c r="E32" i="7"/>
  <c r="E33" i="7"/>
  <c r="E34" i="7"/>
  <c r="E28" i="7"/>
  <c r="D29" i="7"/>
  <c r="D30" i="7"/>
  <c r="D31" i="7"/>
  <c r="D32" i="7"/>
  <c r="D33" i="7"/>
  <c r="D34" i="7"/>
  <c r="D28" i="7"/>
  <c r="C29" i="7"/>
  <c r="C30" i="7"/>
  <c r="C31" i="7"/>
  <c r="C32" i="7"/>
  <c r="C33" i="7"/>
  <c r="C34" i="7"/>
  <c r="C28" i="7"/>
  <c r="H29" i="6"/>
  <c r="J35" i="6"/>
  <c r="J36" i="6"/>
  <c r="J34" i="6"/>
  <c r="I35" i="6"/>
  <c r="I36" i="6"/>
  <c r="I34" i="6"/>
  <c r="G35" i="6"/>
  <c r="G36" i="6"/>
  <c r="G34" i="6"/>
  <c r="F35" i="6"/>
  <c r="F36" i="6"/>
  <c r="F34" i="6"/>
  <c r="E35" i="6"/>
  <c r="E36" i="6"/>
  <c r="E34" i="6"/>
  <c r="H35" i="6"/>
  <c r="H36" i="6"/>
  <c r="D35" i="6"/>
  <c r="D36" i="6"/>
  <c r="D34" i="6"/>
  <c r="H34" i="6"/>
  <c r="C35" i="6"/>
  <c r="C36" i="6"/>
  <c r="C34" i="6"/>
  <c r="G23" i="6"/>
  <c r="F23" i="6"/>
  <c r="E23" i="6"/>
  <c r="D23" i="6"/>
  <c r="C23" i="6"/>
  <c r="H27" i="6"/>
  <c r="G28" i="6" s="1"/>
  <c r="G29" i="6" s="1"/>
  <c r="K20" i="5"/>
  <c r="K19" i="5"/>
  <c r="K18" i="5"/>
  <c r="K17" i="5"/>
  <c r="L8" i="5"/>
  <c r="L7" i="5"/>
  <c r="L6" i="5"/>
  <c r="L5" i="5"/>
  <c r="L4" i="5"/>
  <c r="G20" i="5"/>
  <c r="G21" i="5"/>
  <c r="G18" i="5"/>
  <c r="F19" i="5"/>
  <c r="F20" i="5"/>
  <c r="F21" i="5"/>
  <c r="F18" i="5"/>
  <c r="E19" i="5"/>
  <c r="E20" i="5"/>
  <c r="E21" i="5"/>
  <c r="E18" i="5"/>
  <c r="H12" i="5"/>
  <c r="H19" i="5" s="1"/>
  <c r="G12" i="5"/>
  <c r="G19" i="5" s="1"/>
  <c r="F12" i="5"/>
  <c r="E12" i="5"/>
  <c r="D12" i="5"/>
  <c r="D19" i="5" s="1"/>
  <c r="H13" i="4"/>
  <c r="H17" i="4" s="1"/>
  <c r="I13" i="4"/>
  <c r="I17" i="4" s="1"/>
  <c r="J13" i="4"/>
  <c r="J17" i="4" s="1"/>
  <c r="I19" i="4"/>
  <c r="I20" i="4"/>
  <c r="J22" i="4"/>
  <c r="D8" i="4"/>
  <c r="D7" i="4"/>
  <c r="D6" i="4"/>
  <c r="D5" i="4"/>
  <c r="G13" i="4"/>
  <c r="G17" i="4" s="1"/>
  <c r="H22" i="2"/>
  <c r="I22" i="2"/>
  <c r="J22" i="2"/>
  <c r="H21" i="2"/>
  <c r="I21" i="2"/>
  <c r="J21" i="2"/>
  <c r="H20" i="2"/>
  <c r="I20" i="2"/>
  <c r="J20" i="2"/>
  <c r="H19" i="2"/>
  <c r="I19" i="2"/>
  <c r="J19" i="2"/>
  <c r="H18" i="2"/>
  <c r="I18" i="2"/>
  <c r="J18" i="2"/>
  <c r="G18" i="2"/>
  <c r="G19" i="2"/>
  <c r="G20" i="2"/>
  <c r="G21" i="2"/>
  <c r="G22" i="2"/>
  <c r="H17" i="2"/>
  <c r="I17" i="2"/>
  <c r="J17" i="2"/>
  <c r="G17" i="2"/>
  <c r="J13" i="2"/>
  <c r="I13" i="2"/>
  <c r="H13" i="2"/>
  <c r="G13" i="2"/>
  <c r="C28" i="6" l="1"/>
  <c r="F28" i="6"/>
  <c r="F29" i="6" s="1"/>
  <c r="E28" i="6"/>
  <c r="E29" i="6" s="1"/>
  <c r="D28" i="6"/>
  <c r="D29" i="6" s="1"/>
  <c r="D18" i="5"/>
  <c r="H18" i="5"/>
  <c r="D21" i="5"/>
  <c r="H21" i="5"/>
  <c r="D20" i="5"/>
  <c r="H20" i="5"/>
  <c r="H22" i="4"/>
  <c r="J20" i="4"/>
  <c r="H20" i="4"/>
  <c r="J19" i="4"/>
  <c r="H19" i="4"/>
  <c r="J18" i="4"/>
  <c r="H18" i="4"/>
  <c r="I22" i="4"/>
  <c r="I18" i="4"/>
  <c r="J21" i="4"/>
  <c r="I21" i="4"/>
  <c r="H21" i="4"/>
  <c r="G26" i="4"/>
  <c r="G22" i="4"/>
  <c r="G20" i="4"/>
  <c r="G29" i="4" s="1"/>
  <c r="G18" i="4"/>
  <c r="G21" i="4"/>
  <c r="G19" i="4"/>
  <c r="G28" i="4" s="1"/>
  <c r="C29" i="6" l="1"/>
  <c r="H28" i="6"/>
  <c r="G27" i="4"/>
  <c r="G30" i="4"/>
  <c r="G31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<sst xmlns="http://schemas.openxmlformats.org/spreadsheetml/2006/main" count="260" uniqueCount="78">
  <si>
    <t>Alternatif</t>
  </si>
  <si>
    <t>Kriteria</t>
  </si>
  <si>
    <t>C1</t>
  </si>
  <si>
    <t>C2</t>
  </si>
  <si>
    <t>C3</t>
  </si>
  <si>
    <t>C4</t>
  </si>
  <si>
    <t>Indra</t>
  </si>
  <si>
    <t>Roni</t>
  </si>
  <si>
    <t>Putri</t>
  </si>
  <si>
    <t>Dani</t>
  </si>
  <si>
    <t>Ratna</t>
  </si>
  <si>
    <t>Mira</t>
  </si>
  <si>
    <t>MAX</t>
  </si>
  <si>
    <t>1. NORMALISASI MATRIK, DENGAN RUMUS</t>
  </si>
  <si>
    <t>2. PROSES PERANGKINGAN, DENGAN RUMUS</t>
  </si>
  <si>
    <t>Bobot</t>
  </si>
  <si>
    <t>Nilai Terbesar</t>
  </si>
  <si>
    <t>Ratna terpilih sebagai kepala unit sistem farmasi</t>
  </si>
  <si>
    <t>Table  Nilai Alternatif Disetiap kriteria</t>
  </si>
  <si>
    <t>A1</t>
  </si>
  <si>
    <t>A2</t>
  </si>
  <si>
    <t>A3</t>
  </si>
  <si>
    <t>A4</t>
  </si>
  <si>
    <t>C1 (juta Rp)</t>
  </si>
  <si>
    <t>C5</t>
  </si>
  <si>
    <t>Atribut</t>
  </si>
  <si>
    <t>Normalisasi Matrix</t>
  </si>
  <si>
    <t>COST</t>
  </si>
  <si>
    <t>BENEFIT</t>
  </si>
  <si>
    <t>Perangkingan</t>
  </si>
  <si>
    <t>Nilai</t>
  </si>
  <si>
    <t>Yang dipilih</t>
  </si>
  <si>
    <t xml:space="preserve">3 lokasi yang akan menjadi alternatif </t>
  </si>
  <si>
    <t>Jatake</t>
  </si>
  <si>
    <t>Tiga Raksa</t>
  </si>
  <si>
    <t>Serpong</t>
  </si>
  <si>
    <t>Sangat Rendah</t>
  </si>
  <si>
    <t>Rendah</t>
  </si>
  <si>
    <t>Cukup</t>
  </si>
  <si>
    <t>Tinggi</t>
  </si>
  <si>
    <t>Sangat Tinggi</t>
  </si>
  <si>
    <t xml:space="preserve">       Tingkat kepengtingan</t>
  </si>
  <si>
    <t>Jarak dengan pasar terdekat</t>
  </si>
  <si>
    <t>Kepadatan penduduk disekitar lokasi</t>
  </si>
  <si>
    <t>Jarak dari pabrik (km)</t>
  </si>
  <si>
    <t>Jarak Dengan gudang yang sudah ada</t>
  </si>
  <si>
    <t>harga tanah untuk lokasi (x1000 Rp/m2)</t>
  </si>
  <si>
    <t>5 kriteria</t>
  </si>
  <si>
    <t>Atribut Setiap Kriteria</t>
  </si>
  <si>
    <t xml:space="preserve">Cost </t>
  </si>
  <si>
    <t xml:space="preserve">Benefit </t>
  </si>
  <si>
    <t>a1</t>
  </si>
  <si>
    <t>a2</t>
  </si>
  <si>
    <t>a3</t>
  </si>
  <si>
    <t>cost</t>
  </si>
  <si>
    <t>benefit</t>
  </si>
  <si>
    <t>Tabel Nilai</t>
  </si>
  <si>
    <t>w</t>
  </si>
  <si>
    <t>w Normalisasi</t>
  </si>
  <si>
    <t>hasil</t>
  </si>
  <si>
    <t>Hasil</t>
  </si>
  <si>
    <t>Rangking</t>
  </si>
  <si>
    <t>PERHITUNGAN VEKTOR</t>
  </si>
  <si>
    <t>PERBAIKAN BOBOT</t>
  </si>
  <si>
    <t>Nilai Bobot</t>
  </si>
  <si>
    <t>C6</t>
  </si>
  <si>
    <t>C7</t>
  </si>
  <si>
    <t>BOBOT</t>
  </si>
  <si>
    <t>TABEL NILAI</t>
  </si>
  <si>
    <t>ALTERNATIF</t>
  </si>
  <si>
    <t>KRITERIA</t>
  </si>
  <si>
    <t>A5</t>
  </si>
  <si>
    <t>A6</t>
  </si>
  <si>
    <t>A7</t>
  </si>
  <si>
    <t>DATAMATRIKS TERNORMALISASI</t>
  </si>
  <si>
    <t>SUM</t>
  </si>
  <si>
    <t>AKKAR</t>
  </si>
  <si>
    <t>MENCARI NILAI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</si>
</sst>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43F50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/>
    <xf numFmtId="164" fontId="0" fillId="4" borderId="1" xfId="0" applyNumberFormat="1" applyFill="1" applyBorder="1" applyAlignment="1">
      <alignment horizontal="center" vertical="center"/>
    </xf>
    <xf numFmtId="2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" fillId="0" borderId="0" xfId="0" applyFont="1"/>
    <xf numFmtId="0" fontId="0" fillId="6" borderId="1" xfId="0" applyFill="1" applyBorder="1" applyAlignment="1">
      <alignment horizontal="center" vertical="center"/>
    </xf>
    <xf numFmtId="9" fontId="0" fillId="2" borderId="1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9" fontId="0" fillId="10" borderId="1" xfId="0" applyNumberForma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0" borderId="10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11" borderId="1" xfId="0" applyNumberFormat="1" applyFill="1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164" fontId="5" fillId="11" borderId="1" xfId="0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6" fillId="0" borderId="0" xfId="0" applyFont="1"/>
    <xf numFmtId="0" fontId="0" fillId="15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9" borderId="5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0" fillId="14" borderId="6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4" borderId="12" xfId="0" applyFill="1" applyBorder="1" applyAlignment="1">
      <alignment horizontal="center" vertical="center"/>
    </xf>
    <xf numFmtId="0" fontId="0" fillId="14" borderId="8" xfId="0" applyFill="1" applyBorder="1" applyAlignment="1">
      <alignment horizontal="center" vertical="center"/>
    </xf>
    <xf numFmtId="0" fontId="0" fillId="14" borderId="13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6" fillId="13" borderId="2" xfId="0" applyFont="1" applyFill="1" applyBorder="1" applyAlignment="1">
      <alignment horizontal="center" vertical="center"/>
    </xf>
    <xf numFmtId="0" fontId="6" fillId="13" borderId="4" xfId="0" applyFont="1" applyFill="1" applyBorder="1" applyAlignment="1">
      <alignment horizontal="center" vertical="center"/>
    </xf>
    <xf numFmtId="0" fontId="0" fillId="14" borderId="2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11" borderId="5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16" borderId="2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7" borderId="5" xfId="0" applyFill="1" applyBorder="1" applyAlignment="1">
      <alignment horizontal="center" vertical="center"/>
    </xf>
    <xf numFmtId="0" fontId="0" fillId="17" borderId="6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3F5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AAA1E-EB40-4DA4-A982-E378DFB2E133}">
  <dimension ref="F5:J12"/>
  <sheetViews>
    <sheetView workbookViewId="0">
      <selection activeCell="G19" sqref="G19"/>
    </sheetView>
  </sheetViews>
  <sheetFormatPr defaultRowHeight="14.5" x14ac:dyDescent="0.35"/>
  <cols>
    <col min="6" max="6" width="14.36328125" customWidth="1"/>
  </cols>
  <sheetData>
    <row r="5" spans="6:10" x14ac:dyDescent="0.35">
      <c r="F5" s="40" t="s">
        <v>0</v>
      </c>
      <c r="G5" s="37" t="s">
        <v>1</v>
      </c>
      <c r="H5" s="38"/>
      <c r="I5" s="38"/>
      <c r="J5" s="39"/>
    </row>
    <row r="6" spans="6:10" x14ac:dyDescent="0.35">
      <c r="F6" s="41"/>
      <c r="G6" s="1" t="s">
        <v>2</v>
      </c>
      <c r="H6" s="1" t="s">
        <v>3</v>
      </c>
      <c r="I6" s="1" t="s">
        <v>4</v>
      </c>
      <c r="J6" s="1" t="s">
        <v>5</v>
      </c>
    </row>
    <row r="7" spans="6:10" x14ac:dyDescent="0.35">
      <c r="F7" s="2" t="s">
        <v>6</v>
      </c>
      <c r="G7" s="3">
        <v>70</v>
      </c>
      <c r="H7" s="3">
        <v>50</v>
      </c>
      <c r="I7" s="3">
        <v>80</v>
      </c>
      <c r="J7" s="3">
        <v>60</v>
      </c>
    </row>
    <row r="8" spans="6:10" x14ac:dyDescent="0.35">
      <c r="F8" s="2" t="s">
        <v>7</v>
      </c>
      <c r="G8" s="3">
        <v>50</v>
      </c>
      <c r="H8" s="3">
        <v>60</v>
      </c>
      <c r="I8" s="3">
        <v>82</v>
      </c>
      <c r="J8" s="3">
        <v>70</v>
      </c>
    </row>
    <row r="9" spans="6:10" x14ac:dyDescent="0.35">
      <c r="F9" s="2" t="s">
        <v>8</v>
      </c>
      <c r="G9" s="3">
        <v>85</v>
      </c>
      <c r="H9" s="3">
        <v>55</v>
      </c>
      <c r="I9" s="3">
        <v>80</v>
      </c>
      <c r="J9" s="3">
        <v>75</v>
      </c>
    </row>
    <row r="10" spans="6:10" x14ac:dyDescent="0.35">
      <c r="F10" s="2" t="s">
        <v>9</v>
      </c>
      <c r="G10" s="3">
        <v>82</v>
      </c>
      <c r="H10" s="3">
        <v>70</v>
      </c>
      <c r="I10" s="3">
        <v>65</v>
      </c>
      <c r="J10" s="3">
        <v>85</v>
      </c>
    </row>
    <row r="11" spans="6:10" x14ac:dyDescent="0.35">
      <c r="F11" s="2" t="s">
        <v>10</v>
      </c>
      <c r="G11" s="3">
        <v>75</v>
      </c>
      <c r="H11" s="3">
        <v>75</v>
      </c>
      <c r="I11" s="3">
        <v>85</v>
      </c>
      <c r="J11" s="3">
        <v>74</v>
      </c>
    </row>
    <row r="12" spans="6:10" x14ac:dyDescent="0.35">
      <c r="F12" s="2" t="s">
        <v>11</v>
      </c>
      <c r="G12" s="3">
        <v>62</v>
      </c>
      <c r="H12" s="3">
        <v>50</v>
      </c>
      <c r="I12" s="3">
        <v>75</v>
      </c>
      <c r="J12" s="3">
        <v>80</v>
      </c>
    </row>
  </sheetData>
  <mergeCells count="2">
    <mergeCell ref="G5:J5"/>
    <mergeCell ref="F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A2741-4435-425E-851F-46405E18D31F}">
  <dimension ref="F3:J22"/>
  <sheetViews>
    <sheetView workbookViewId="0">
      <selection activeCell="M18" sqref="M18"/>
    </sheetView>
  </sheetViews>
  <sheetFormatPr defaultRowHeight="14.5" x14ac:dyDescent="0.35"/>
  <cols>
    <col min="6" max="6" width="8.6328125" bestFit="1" customWidth="1"/>
    <col min="7" max="7" width="9.453125" bestFit="1" customWidth="1"/>
  </cols>
  <sheetData>
    <row r="3" spans="6:10" x14ac:dyDescent="0.35">
      <c r="F3" s="42" t="s">
        <v>13</v>
      </c>
      <c r="G3" s="42"/>
      <c r="H3" s="42"/>
      <c r="I3" s="42"/>
      <c r="J3" s="42"/>
    </row>
    <row r="5" spans="6:10" x14ac:dyDescent="0.35">
      <c r="F5" s="40" t="s">
        <v>0</v>
      </c>
      <c r="G5" s="37" t="s">
        <v>1</v>
      </c>
      <c r="H5" s="38"/>
      <c r="I5" s="38"/>
      <c r="J5" s="39"/>
    </row>
    <row r="6" spans="6:10" x14ac:dyDescent="0.35">
      <c r="F6" s="41"/>
      <c r="G6" s="1" t="s">
        <v>2</v>
      </c>
      <c r="H6" s="1" t="s">
        <v>3</v>
      </c>
      <c r="I6" s="1" t="s">
        <v>4</v>
      </c>
      <c r="J6" s="1" t="s">
        <v>5</v>
      </c>
    </row>
    <row r="7" spans="6:10" x14ac:dyDescent="0.35">
      <c r="F7" s="2" t="s">
        <v>6</v>
      </c>
      <c r="G7" s="3">
        <v>70</v>
      </c>
      <c r="H7" s="3">
        <v>50</v>
      </c>
      <c r="I7" s="3">
        <v>80</v>
      </c>
      <c r="J7" s="3">
        <v>60</v>
      </c>
    </row>
    <row r="8" spans="6:10" x14ac:dyDescent="0.35">
      <c r="F8" s="2" t="s">
        <v>7</v>
      </c>
      <c r="G8" s="3">
        <v>50</v>
      </c>
      <c r="H8" s="3">
        <v>60</v>
      </c>
      <c r="I8" s="3">
        <v>82</v>
      </c>
      <c r="J8" s="3">
        <v>70</v>
      </c>
    </row>
    <row r="9" spans="6:10" x14ac:dyDescent="0.35">
      <c r="F9" s="2" t="s">
        <v>8</v>
      </c>
      <c r="G9" s="3">
        <v>85</v>
      </c>
      <c r="H9" s="3">
        <v>55</v>
      </c>
      <c r="I9" s="3">
        <v>80</v>
      </c>
      <c r="J9" s="3">
        <v>75</v>
      </c>
    </row>
    <row r="10" spans="6:10" x14ac:dyDescent="0.35">
      <c r="F10" s="2" t="s">
        <v>9</v>
      </c>
      <c r="G10" s="3">
        <v>82</v>
      </c>
      <c r="H10" s="3">
        <v>70</v>
      </c>
      <c r="I10" s="3">
        <v>65</v>
      </c>
      <c r="J10" s="3">
        <v>85</v>
      </c>
    </row>
    <row r="11" spans="6:10" x14ac:dyDescent="0.35">
      <c r="F11" s="2" t="s">
        <v>10</v>
      </c>
      <c r="G11" s="3">
        <v>75</v>
      </c>
      <c r="H11" s="3">
        <v>75</v>
      </c>
      <c r="I11" s="3">
        <v>85</v>
      </c>
      <c r="J11" s="3">
        <v>74</v>
      </c>
    </row>
    <row r="12" spans="6:10" x14ac:dyDescent="0.35">
      <c r="F12" s="2" t="s">
        <v>11</v>
      </c>
      <c r="G12" s="3">
        <v>62</v>
      </c>
      <c r="H12" s="3">
        <v>50</v>
      </c>
      <c r="I12" s="3">
        <v>75</v>
      </c>
      <c r="J12" s="3">
        <v>80</v>
      </c>
    </row>
    <row r="13" spans="6:10" x14ac:dyDescent="0.35">
      <c r="F13" s="4" t="s">
        <v>12</v>
      </c>
      <c r="G13" s="5">
        <f>MAX(G7:G12)</f>
        <v>85</v>
      </c>
      <c r="H13" s="5">
        <f>MAX(H7:H12)</f>
        <v>75</v>
      </c>
      <c r="I13" s="5">
        <f>MAX(I7:I12)</f>
        <v>85</v>
      </c>
      <c r="J13" s="5">
        <f>MAX(J7:J12)</f>
        <v>85</v>
      </c>
    </row>
    <row r="15" spans="6:10" x14ac:dyDescent="0.35">
      <c r="F15" s="40" t="s">
        <v>0</v>
      </c>
      <c r="G15" s="37" t="s">
        <v>1</v>
      </c>
      <c r="H15" s="38"/>
      <c r="I15" s="38"/>
      <c r="J15" s="39"/>
    </row>
    <row r="16" spans="6:10" x14ac:dyDescent="0.35">
      <c r="F16" s="41"/>
      <c r="G16" s="1" t="s">
        <v>2</v>
      </c>
      <c r="H16" s="1" t="s">
        <v>3</v>
      </c>
      <c r="I16" s="1" t="s">
        <v>4</v>
      </c>
      <c r="J16" s="1" t="s">
        <v>5</v>
      </c>
    </row>
    <row r="17" spans="6:10" x14ac:dyDescent="0.35">
      <c r="F17" s="2" t="s">
        <v>6</v>
      </c>
      <c r="G17" s="7">
        <f>G7/G13</f>
        <v>0.82352941176470584</v>
      </c>
      <c r="H17" s="7">
        <f t="shared" ref="H17:J17" si="0">H7/H13</f>
        <v>0.66666666666666663</v>
      </c>
      <c r="I17" s="7">
        <f t="shared" si="0"/>
        <v>0.94117647058823528</v>
      </c>
      <c r="J17" s="7">
        <f t="shared" si="0"/>
        <v>0.70588235294117652</v>
      </c>
    </row>
    <row r="18" spans="6:10" x14ac:dyDescent="0.35">
      <c r="F18" s="2" t="s">
        <v>7</v>
      </c>
      <c r="G18" s="7">
        <f>G8/G13</f>
        <v>0.58823529411764708</v>
      </c>
      <c r="H18" s="7">
        <f t="shared" ref="H18:J18" si="1">H8/H13</f>
        <v>0.8</v>
      </c>
      <c r="I18" s="7">
        <f t="shared" si="1"/>
        <v>0.96470588235294119</v>
      </c>
      <c r="J18" s="7">
        <f t="shared" si="1"/>
        <v>0.82352941176470584</v>
      </c>
    </row>
    <row r="19" spans="6:10" x14ac:dyDescent="0.35">
      <c r="F19" s="2" t="s">
        <v>8</v>
      </c>
      <c r="G19" s="3">
        <f>G9/G13</f>
        <v>1</v>
      </c>
      <c r="H19" s="7">
        <f t="shared" ref="H19:J19" si="2">H9/H13</f>
        <v>0.73333333333333328</v>
      </c>
      <c r="I19" s="7">
        <f t="shared" si="2"/>
        <v>0.94117647058823528</v>
      </c>
      <c r="J19" s="7">
        <f t="shared" si="2"/>
        <v>0.88235294117647056</v>
      </c>
    </row>
    <row r="20" spans="6:10" x14ac:dyDescent="0.35">
      <c r="F20" s="2" t="s">
        <v>9</v>
      </c>
      <c r="G20" s="7">
        <f>G10/G13</f>
        <v>0.96470588235294119</v>
      </c>
      <c r="H20" s="7">
        <f t="shared" ref="H20:J20" si="3">H10/H13</f>
        <v>0.93333333333333335</v>
      </c>
      <c r="I20" s="7">
        <f t="shared" si="3"/>
        <v>0.76470588235294112</v>
      </c>
      <c r="J20" s="9">
        <f t="shared" si="3"/>
        <v>1</v>
      </c>
    </row>
    <row r="21" spans="6:10" x14ac:dyDescent="0.35">
      <c r="F21" s="2" t="s">
        <v>10</v>
      </c>
      <c r="G21" s="7">
        <f>G11/G13</f>
        <v>0.88235294117647056</v>
      </c>
      <c r="H21" s="9">
        <f t="shared" ref="H21:J21" si="4">H11/H13</f>
        <v>1</v>
      </c>
      <c r="I21" s="8">
        <f t="shared" si="4"/>
        <v>1</v>
      </c>
      <c r="J21" s="7">
        <f t="shared" si="4"/>
        <v>0.87058823529411766</v>
      </c>
    </row>
    <row r="22" spans="6:10" x14ac:dyDescent="0.35">
      <c r="F22" s="2" t="s">
        <v>11</v>
      </c>
      <c r="G22" s="7">
        <f>G12/G13</f>
        <v>0.72941176470588232</v>
      </c>
      <c r="H22" s="7">
        <f t="shared" ref="H22:J22" si="5">H12/H13</f>
        <v>0.66666666666666663</v>
      </c>
      <c r="I22" s="7">
        <f t="shared" si="5"/>
        <v>0.88235294117647056</v>
      </c>
      <c r="J22" s="7">
        <f t="shared" si="5"/>
        <v>0.94117647058823528</v>
      </c>
    </row>
  </sheetData>
  <mergeCells count="5">
    <mergeCell ref="F5:F6"/>
    <mergeCell ref="G5:J5"/>
    <mergeCell ref="F3:J3"/>
    <mergeCell ref="F15:F16"/>
    <mergeCell ref="G15:J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5FAD0-A32F-415A-8AA4-D4C956E14902}">
  <dimension ref="B3:J33"/>
  <sheetViews>
    <sheetView workbookViewId="0">
      <selection activeCell="L28" sqref="L28"/>
    </sheetView>
  </sheetViews>
  <sheetFormatPr defaultRowHeight="14.5" x14ac:dyDescent="0.35"/>
  <cols>
    <col min="7" max="7" width="12.1796875" bestFit="1" customWidth="1"/>
    <col min="8" max="8" width="11.1796875" customWidth="1"/>
    <col min="9" max="9" width="11.36328125" customWidth="1"/>
    <col min="10" max="10" width="11.81640625" customWidth="1"/>
  </cols>
  <sheetData>
    <row r="3" spans="2:10" x14ac:dyDescent="0.35">
      <c r="B3" s="10" t="s">
        <v>15</v>
      </c>
      <c r="F3" s="43" t="s">
        <v>14</v>
      </c>
      <c r="G3" s="43"/>
      <c r="H3" s="43"/>
      <c r="I3" s="43"/>
      <c r="J3" s="43"/>
    </row>
    <row r="5" spans="2:10" x14ac:dyDescent="0.35">
      <c r="B5" s="11" t="s">
        <v>2</v>
      </c>
      <c r="C5" s="12">
        <v>0.35</v>
      </c>
      <c r="D5" s="3">
        <f>35/100</f>
        <v>0.35</v>
      </c>
      <c r="F5" s="40" t="s">
        <v>0</v>
      </c>
      <c r="G5" s="37" t="s">
        <v>1</v>
      </c>
      <c r="H5" s="38"/>
      <c r="I5" s="38"/>
      <c r="J5" s="39"/>
    </row>
    <row r="6" spans="2:10" x14ac:dyDescent="0.35">
      <c r="B6" s="11" t="s">
        <v>3</v>
      </c>
      <c r="C6" s="12">
        <v>0.25</v>
      </c>
      <c r="D6" s="3">
        <f>25/100</f>
        <v>0.25</v>
      </c>
      <c r="F6" s="41"/>
      <c r="G6" s="1" t="s">
        <v>2</v>
      </c>
      <c r="H6" s="1" t="s">
        <v>3</v>
      </c>
      <c r="I6" s="1" t="s">
        <v>4</v>
      </c>
      <c r="J6" s="1" t="s">
        <v>5</v>
      </c>
    </row>
    <row r="7" spans="2:10" x14ac:dyDescent="0.35">
      <c r="B7" s="11" t="s">
        <v>4</v>
      </c>
      <c r="C7" s="12">
        <v>0.25</v>
      </c>
      <c r="D7" s="3">
        <f>25/100</f>
        <v>0.25</v>
      </c>
      <c r="F7" s="2" t="s">
        <v>6</v>
      </c>
      <c r="G7" s="3">
        <v>70</v>
      </c>
      <c r="H7" s="3">
        <v>50</v>
      </c>
      <c r="I7" s="3">
        <v>80</v>
      </c>
      <c r="J7" s="3">
        <v>60</v>
      </c>
    </row>
    <row r="8" spans="2:10" x14ac:dyDescent="0.35">
      <c r="B8" s="11" t="s">
        <v>5</v>
      </c>
      <c r="C8" s="12">
        <v>0.15</v>
      </c>
      <c r="D8" s="3">
        <f>15/100</f>
        <v>0.15</v>
      </c>
      <c r="F8" s="2" t="s">
        <v>7</v>
      </c>
      <c r="G8" s="3">
        <v>50</v>
      </c>
      <c r="H8" s="3">
        <v>60</v>
      </c>
      <c r="I8" s="3">
        <v>82</v>
      </c>
      <c r="J8" s="3">
        <v>70</v>
      </c>
    </row>
    <row r="9" spans="2:10" x14ac:dyDescent="0.35">
      <c r="F9" s="2" t="s">
        <v>8</v>
      </c>
      <c r="G9" s="3">
        <v>85</v>
      </c>
      <c r="H9" s="3">
        <v>55</v>
      </c>
      <c r="I9" s="3">
        <v>80</v>
      </c>
      <c r="J9" s="3">
        <v>75</v>
      </c>
    </row>
    <row r="10" spans="2:10" x14ac:dyDescent="0.35">
      <c r="F10" s="2" t="s">
        <v>9</v>
      </c>
      <c r="G10" s="3">
        <v>82</v>
      </c>
      <c r="H10" s="3">
        <v>70</v>
      </c>
      <c r="I10" s="3">
        <v>65</v>
      </c>
      <c r="J10" s="3">
        <v>85</v>
      </c>
    </row>
    <row r="11" spans="2:10" x14ac:dyDescent="0.35">
      <c r="F11" s="2" t="s">
        <v>10</v>
      </c>
      <c r="G11" s="3">
        <v>75</v>
      </c>
      <c r="H11" s="3">
        <v>75</v>
      </c>
      <c r="I11" s="3">
        <v>85</v>
      </c>
      <c r="J11" s="3">
        <v>74</v>
      </c>
    </row>
    <row r="12" spans="2:10" x14ac:dyDescent="0.35">
      <c r="F12" s="2" t="s">
        <v>11</v>
      </c>
      <c r="G12" s="3">
        <v>62</v>
      </c>
      <c r="H12" s="3">
        <v>50</v>
      </c>
      <c r="I12" s="3">
        <v>75</v>
      </c>
      <c r="J12" s="3">
        <v>80</v>
      </c>
    </row>
    <row r="13" spans="2:10" x14ac:dyDescent="0.35">
      <c r="F13" s="4" t="s">
        <v>12</v>
      </c>
      <c r="G13" s="5">
        <f>MAX(G7:G12)</f>
        <v>85</v>
      </c>
      <c r="H13" s="5">
        <f>MAX(H7:H12)</f>
        <v>75</v>
      </c>
      <c r="I13" s="5">
        <f>MAX(I7:I12)</f>
        <v>85</v>
      </c>
      <c r="J13" s="5">
        <f>MAX(J7:J12)</f>
        <v>85</v>
      </c>
    </row>
    <row r="15" spans="2:10" x14ac:dyDescent="0.35">
      <c r="F15" s="40" t="s">
        <v>0</v>
      </c>
      <c r="G15" s="37" t="s">
        <v>1</v>
      </c>
      <c r="H15" s="38"/>
      <c r="I15" s="38"/>
      <c r="J15" s="39"/>
    </row>
    <row r="16" spans="2:10" x14ac:dyDescent="0.35">
      <c r="F16" s="41"/>
      <c r="G16" s="1" t="s">
        <v>2</v>
      </c>
      <c r="H16" s="1" t="s">
        <v>3</v>
      </c>
      <c r="I16" s="1" t="s">
        <v>4</v>
      </c>
      <c r="J16" s="1" t="s">
        <v>5</v>
      </c>
    </row>
    <row r="17" spans="6:10" x14ac:dyDescent="0.35">
      <c r="F17" s="2" t="s">
        <v>6</v>
      </c>
      <c r="G17" s="7">
        <f>G7/G13</f>
        <v>0.82352941176470584</v>
      </c>
      <c r="H17" s="7">
        <f t="shared" ref="H17:J17" si="0">H7/H13</f>
        <v>0.66666666666666663</v>
      </c>
      <c r="I17" s="7">
        <f t="shared" si="0"/>
        <v>0.94117647058823528</v>
      </c>
      <c r="J17" s="7">
        <f t="shared" si="0"/>
        <v>0.70588235294117652</v>
      </c>
    </row>
    <row r="18" spans="6:10" x14ac:dyDescent="0.35">
      <c r="F18" s="2" t="s">
        <v>7</v>
      </c>
      <c r="G18" s="7">
        <f>G8/G13</f>
        <v>0.58823529411764708</v>
      </c>
      <c r="H18" s="7">
        <f t="shared" ref="H18:J18" si="1">H8/H13</f>
        <v>0.8</v>
      </c>
      <c r="I18" s="7">
        <f t="shared" si="1"/>
        <v>0.96470588235294119</v>
      </c>
      <c r="J18" s="7">
        <f t="shared" si="1"/>
        <v>0.82352941176470584</v>
      </c>
    </row>
    <row r="19" spans="6:10" x14ac:dyDescent="0.35">
      <c r="F19" s="2" t="s">
        <v>8</v>
      </c>
      <c r="G19" s="3">
        <f>G9/G13</f>
        <v>1</v>
      </c>
      <c r="H19" s="7">
        <f t="shared" ref="H19:J19" si="2">H9/H13</f>
        <v>0.73333333333333328</v>
      </c>
      <c r="I19" s="7">
        <f t="shared" si="2"/>
        <v>0.94117647058823528</v>
      </c>
      <c r="J19" s="7">
        <f t="shared" si="2"/>
        <v>0.88235294117647056</v>
      </c>
    </row>
    <row r="20" spans="6:10" x14ac:dyDescent="0.35">
      <c r="F20" s="2" t="s">
        <v>9</v>
      </c>
      <c r="G20" s="7">
        <f>G10/G13</f>
        <v>0.96470588235294119</v>
      </c>
      <c r="H20" s="7">
        <f t="shared" ref="H20:J20" si="3">H10/H13</f>
        <v>0.93333333333333335</v>
      </c>
      <c r="I20" s="7">
        <f t="shared" si="3"/>
        <v>0.76470588235294112</v>
      </c>
      <c r="J20" s="9">
        <f t="shared" si="3"/>
        <v>1</v>
      </c>
    </row>
    <row r="21" spans="6:10" x14ac:dyDescent="0.35">
      <c r="F21" s="2" t="s">
        <v>10</v>
      </c>
      <c r="G21" s="7">
        <f>G11/G13</f>
        <v>0.88235294117647056</v>
      </c>
      <c r="H21" s="9">
        <f t="shared" ref="H21:J21" si="4">H11/H13</f>
        <v>1</v>
      </c>
      <c r="I21" s="8">
        <f t="shared" si="4"/>
        <v>1</v>
      </c>
      <c r="J21" s="7">
        <f t="shared" si="4"/>
        <v>0.87058823529411766</v>
      </c>
    </row>
    <row r="22" spans="6:10" x14ac:dyDescent="0.35">
      <c r="F22" s="2" t="s">
        <v>11</v>
      </c>
      <c r="G22" s="7">
        <f>G12/G13</f>
        <v>0.72941176470588232</v>
      </c>
      <c r="H22" s="7">
        <f t="shared" ref="H22:J22" si="5">H12/H13</f>
        <v>0.66666666666666663</v>
      </c>
      <c r="I22" s="7">
        <f t="shared" si="5"/>
        <v>0.88235294117647056</v>
      </c>
      <c r="J22" s="7">
        <f t="shared" si="5"/>
        <v>0.94117647058823528</v>
      </c>
    </row>
    <row r="24" spans="6:10" x14ac:dyDescent="0.35">
      <c r="F24" s="40" t="s">
        <v>0</v>
      </c>
      <c r="G24" s="44" t="s">
        <v>16</v>
      </c>
    </row>
    <row r="25" spans="6:10" x14ac:dyDescent="0.35">
      <c r="F25" s="41"/>
      <c r="G25" s="45"/>
    </row>
    <row r="26" spans="6:10" x14ac:dyDescent="0.35">
      <c r="F26" s="2" t="s">
        <v>6</v>
      </c>
      <c r="G26" s="6">
        <f>D5*G17+D6*H17+D7*I17+D8*J17</f>
        <v>0.79607843137254897</v>
      </c>
    </row>
    <row r="27" spans="6:10" x14ac:dyDescent="0.35">
      <c r="F27" s="2" t="s">
        <v>7</v>
      </c>
      <c r="G27" s="6">
        <f>D5*G18+D6*H18+D7*I18+D8*J18</f>
        <v>0.77058823529411768</v>
      </c>
    </row>
    <row r="28" spans="6:10" x14ac:dyDescent="0.35">
      <c r="F28" s="2" t="s">
        <v>8</v>
      </c>
      <c r="G28" s="6">
        <f>D5*G19+D6*H19+D7*I19+D8*J19</f>
        <v>0.90098039215686265</v>
      </c>
    </row>
    <row r="29" spans="6:10" x14ac:dyDescent="0.35">
      <c r="F29" s="2" t="s">
        <v>9</v>
      </c>
      <c r="G29" s="6">
        <f>D5*G20+D6*H20+D7*I20+D8*J20</f>
        <v>0.91215686274509811</v>
      </c>
    </row>
    <row r="30" spans="6:10" x14ac:dyDescent="0.35">
      <c r="F30" s="13" t="s">
        <v>10</v>
      </c>
      <c r="G30" s="14">
        <f>D5*G21+D6*H21+D7*I21+D8*J21</f>
        <v>0.93941176470588239</v>
      </c>
    </row>
    <row r="31" spans="6:10" x14ac:dyDescent="0.35">
      <c r="F31" s="2" t="s">
        <v>11</v>
      </c>
      <c r="G31" s="6">
        <f>D5*G22+D6*H22+D7*I22+D8*J22</f>
        <v>0.7837254901960784</v>
      </c>
    </row>
    <row r="33" spans="6:9" x14ac:dyDescent="0.35">
      <c r="F33" s="46" t="s">
        <v>17</v>
      </c>
      <c r="G33" s="46"/>
      <c r="H33" s="46"/>
      <c r="I33" s="46"/>
    </row>
  </sheetData>
  <mergeCells count="8">
    <mergeCell ref="F3:J3"/>
    <mergeCell ref="F24:F25"/>
    <mergeCell ref="G24:G25"/>
    <mergeCell ref="F33:I33"/>
    <mergeCell ref="F5:F6"/>
    <mergeCell ref="G5:J5"/>
    <mergeCell ref="F15:F16"/>
    <mergeCell ref="G15:J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523E-4F76-42A2-9C75-1A73F36A5273}">
  <dimension ref="A2:L22"/>
  <sheetViews>
    <sheetView topLeftCell="A5" workbookViewId="0">
      <selection activeCell="M18" sqref="M18"/>
    </sheetView>
  </sheetViews>
  <sheetFormatPr defaultRowHeight="14.5" x14ac:dyDescent="0.35"/>
  <cols>
    <col min="4" max="4" width="10.453125" bestFit="1" customWidth="1"/>
    <col min="6" max="6" width="9.26953125" bestFit="1" customWidth="1"/>
  </cols>
  <sheetData>
    <row r="2" spans="1:12" x14ac:dyDescent="0.35">
      <c r="A2" s="10" t="s">
        <v>18</v>
      </c>
    </row>
    <row r="4" spans="1:12" x14ac:dyDescent="0.35">
      <c r="C4" s="50" t="s">
        <v>0</v>
      </c>
      <c r="D4" s="47" t="s">
        <v>1</v>
      </c>
      <c r="E4" s="48"/>
      <c r="F4" s="48"/>
      <c r="G4" s="48"/>
      <c r="H4" s="49"/>
      <c r="J4" s="17" t="s">
        <v>2</v>
      </c>
      <c r="K4" s="22">
        <v>0.25</v>
      </c>
      <c r="L4" s="23">
        <f>25/100</f>
        <v>0.25</v>
      </c>
    </row>
    <row r="5" spans="1:12" x14ac:dyDescent="0.35">
      <c r="C5" s="51"/>
      <c r="D5" s="50" t="s">
        <v>23</v>
      </c>
      <c r="E5" s="50" t="s">
        <v>3</v>
      </c>
      <c r="F5" s="50" t="s">
        <v>4</v>
      </c>
      <c r="G5" s="50" t="s">
        <v>5</v>
      </c>
      <c r="H5" s="50" t="s">
        <v>24</v>
      </c>
      <c r="J5" s="17" t="s">
        <v>3</v>
      </c>
      <c r="K5" s="22">
        <v>0.15</v>
      </c>
      <c r="L5" s="23">
        <f>15/100</f>
        <v>0.15</v>
      </c>
    </row>
    <row r="6" spans="1:12" x14ac:dyDescent="0.35">
      <c r="C6" s="52"/>
      <c r="D6" s="52"/>
      <c r="E6" s="52"/>
      <c r="F6" s="52"/>
      <c r="G6" s="52"/>
      <c r="H6" s="52"/>
      <c r="J6" s="17" t="s">
        <v>4</v>
      </c>
      <c r="K6" s="22">
        <v>0.3</v>
      </c>
      <c r="L6" s="29">
        <f>30/100</f>
        <v>0.3</v>
      </c>
    </row>
    <row r="7" spans="1:12" x14ac:dyDescent="0.35">
      <c r="C7" s="16" t="s">
        <v>19</v>
      </c>
      <c r="D7" s="16">
        <v>150</v>
      </c>
      <c r="E7" s="16">
        <v>15</v>
      </c>
      <c r="F7" s="16">
        <v>2</v>
      </c>
      <c r="G7" s="16">
        <v>2</v>
      </c>
      <c r="H7" s="16">
        <v>3</v>
      </c>
      <c r="J7" s="17" t="s">
        <v>5</v>
      </c>
      <c r="K7" s="22">
        <v>0.25</v>
      </c>
      <c r="L7" s="23">
        <f>25/100</f>
        <v>0.25</v>
      </c>
    </row>
    <row r="8" spans="1:12" x14ac:dyDescent="0.35">
      <c r="C8" s="16" t="s">
        <v>20</v>
      </c>
      <c r="D8" s="16">
        <v>500</v>
      </c>
      <c r="E8" s="16">
        <v>200</v>
      </c>
      <c r="F8" s="16">
        <v>2</v>
      </c>
      <c r="G8" s="16">
        <v>3</v>
      </c>
      <c r="H8" s="16">
        <v>2</v>
      </c>
      <c r="J8" s="17" t="s">
        <v>24</v>
      </c>
      <c r="K8" s="22">
        <v>0.05</v>
      </c>
      <c r="L8" s="23">
        <f>5/100</f>
        <v>0.05</v>
      </c>
    </row>
    <row r="9" spans="1:12" x14ac:dyDescent="0.35">
      <c r="C9" s="16" t="s">
        <v>21</v>
      </c>
      <c r="D9" s="16">
        <v>200</v>
      </c>
      <c r="E9" s="16">
        <v>10</v>
      </c>
      <c r="F9" s="16">
        <v>3</v>
      </c>
      <c r="G9" s="16">
        <v>1</v>
      </c>
      <c r="H9" s="16">
        <v>3</v>
      </c>
    </row>
    <row r="10" spans="1:12" x14ac:dyDescent="0.35">
      <c r="C10" s="16" t="s">
        <v>22</v>
      </c>
      <c r="D10" s="16">
        <v>350</v>
      </c>
      <c r="E10" s="16">
        <v>100</v>
      </c>
      <c r="F10" s="16">
        <v>3</v>
      </c>
      <c r="G10" s="16">
        <v>1</v>
      </c>
      <c r="H10" s="16">
        <v>2</v>
      </c>
    </row>
    <row r="11" spans="1:12" x14ac:dyDescent="0.35">
      <c r="C11" s="53" t="s">
        <v>25</v>
      </c>
      <c r="D11" s="24" t="s">
        <v>27</v>
      </c>
      <c r="E11" s="24" t="s">
        <v>28</v>
      </c>
      <c r="F11" s="24" t="s">
        <v>28</v>
      </c>
      <c r="G11" s="24" t="s">
        <v>27</v>
      </c>
      <c r="H11" s="24" t="s">
        <v>28</v>
      </c>
    </row>
    <row r="12" spans="1:12" x14ac:dyDescent="0.35">
      <c r="C12" s="54"/>
      <c r="D12" s="24">
        <f>MIN(D7:D10)</f>
        <v>150</v>
      </c>
      <c r="E12" s="24">
        <f>MAX(E7:E10)</f>
        <v>200</v>
      </c>
      <c r="F12" s="24">
        <f>MAX(F7:F10)</f>
        <v>3</v>
      </c>
      <c r="G12" s="24">
        <f>MIN(G7:G10)</f>
        <v>1</v>
      </c>
      <c r="H12" s="24">
        <f>MAX(H7:H10)</f>
        <v>3</v>
      </c>
    </row>
    <row r="13" spans="1:12" x14ac:dyDescent="0.35">
      <c r="C13" s="20"/>
      <c r="D13" s="20"/>
      <c r="E13" s="20"/>
      <c r="F13" s="20"/>
      <c r="G13" s="20"/>
      <c r="H13" s="20"/>
    </row>
    <row r="14" spans="1:12" x14ac:dyDescent="0.35">
      <c r="B14" s="10"/>
      <c r="C14" s="15" t="s">
        <v>26</v>
      </c>
      <c r="D14" s="10"/>
      <c r="J14" t="s">
        <v>29</v>
      </c>
    </row>
    <row r="15" spans="1:12" x14ac:dyDescent="0.35">
      <c r="C15" s="50" t="s">
        <v>0</v>
      </c>
      <c r="D15" s="47" t="s">
        <v>1</v>
      </c>
      <c r="E15" s="48"/>
      <c r="F15" s="48"/>
      <c r="G15" s="48"/>
      <c r="H15" s="49"/>
      <c r="J15" s="55" t="s">
        <v>0</v>
      </c>
      <c r="K15" s="55" t="s">
        <v>30</v>
      </c>
    </row>
    <row r="16" spans="1:12" x14ac:dyDescent="0.35">
      <c r="C16" s="51"/>
      <c r="D16" s="50" t="s">
        <v>23</v>
      </c>
      <c r="E16" s="50" t="s">
        <v>3</v>
      </c>
      <c r="F16" s="50" t="s">
        <v>4</v>
      </c>
      <c r="G16" s="50" t="s">
        <v>5</v>
      </c>
      <c r="H16" s="50" t="s">
        <v>24</v>
      </c>
      <c r="J16" s="56"/>
      <c r="K16" s="56"/>
    </row>
    <row r="17" spans="3:12" x14ac:dyDescent="0.35">
      <c r="C17" s="52"/>
      <c r="D17" s="52"/>
      <c r="E17" s="52"/>
      <c r="F17" s="52"/>
      <c r="G17" s="52"/>
      <c r="H17" s="52"/>
      <c r="J17" s="26" t="s">
        <v>19</v>
      </c>
      <c r="K17" s="28">
        <f>L4*D18+L5*E18+L6*F18+L7*G18+L8*H18</f>
        <v>0.63624999999999998</v>
      </c>
    </row>
    <row r="18" spans="3:12" x14ac:dyDescent="0.35">
      <c r="C18" s="16" t="s">
        <v>19</v>
      </c>
      <c r="D18" s="18">
        <f>$D$12/D7</f>
        <v>1</v>
      </c>
      <c r="E18" s="18">
        <f>E7/$E$12</f>
        <v>7.4999999999999997E-2</v>
      </c>
      <c r="F18" s="18">
        <f>F7/$F$12</f>
        <v>0.66666666666666663</v>
      </c>
      <c r="G18" s="18">
        <f>$G$12/G7</f>
        <v>0.5</v>
      </c>
      <c r="H18" s="18">
        <f>H7/$H$12</f>
        <v>1</v>
      </c>
      <c r="J18" s="26" t="s">
        <v>20</v>
      </c>
      <c r="K18" s="28">
        <f>L4*D19+L5*E19+L6*F19+L7*G19+L8*H19</f>
        <v>0.54166666666666663</v>
      </c>
    </row>
    <row r="19" spans="3:12" x14ac:dyDescent="0.35">
      <c r="C19" s="16" t="s">
        <v>20</v>
      </c>
      <c r="D19" s="18">
        <f t="shared" ref="D19:D21" si="0">$D$12/D8</f>
        <v>0.3</v>
      </c>
      <c r="E19" s="18">
        <f t="shared" ref="E19:E21" si="1">E8/$E$12</f>
        <v>1</v>
      </c>
      <c r="F19" s="18">
        <f t="shared" ref="F19:F21" si="2">F8/$F$12</f>
        <v>0.66666666666666663</v>
      </c>
      <c r="G19" s="18">
        <f t="shared" ref="G19:G21" si="3">$G$12/G8</f>
        <v>0.33333333333333331</v>
      </c>
      <c r="H19" s="18">
        <f t="shared" ref="H19:H21" si="4">H8/$H$12</f>
        <v>0.66666666666666663</v>
      </c>
      <c r="J19" s="26" t="s">
        <v>21</v>
      </c>
      <c r="K19" s="30">
        <f>L4*D20+L5*E20+L6*F20+L7*G20+L8*H20</f>
        <v>0.79500000000000004</v>
      </c>
      <c r="L19" t="s">
        <v>31</v>
      </c>
    </row>
    <row r="20" spans="3:12" x14ac:dyDescent="0.35">
      <c r="C20" s="16" t="s">
        <v>21</v>
      </c>
      <c r="D20" s="18">
        <f t="shared" si="0"/>
        <v>0.75</v>
      </c>
      <c r="E20" s="18">
        <f t="shared" si="1"/>
        <v>0.05</v>
      </c>
      <c r="F20" s="18">
        <f t="shared" si="2"/>
        <v>1</v>
      </c>
      <c r="G20" s="18">
        <f t="shared" si="3"/>
        <v>1</v>
      </c>
      <c r="H20" s="18">
        <f t="shared" si="4"/>
        <v>1</v>
      </c>
      <c r="J20" s="27" t="s">
        <v>22</v>
      </c>
      <c r="K20" s="28">
        <f>L4*D21+L5*E21+L6*F21+L7*G21+L8*H21</f>
        <v>0.76547619047619042</v>
      </c>
    </row>
    <row r="21" spans="3:12" x14ac:dyDescent="0.35">
      <c r="C21" s="19" t="s">
        <v>22</v>
      </c>
      <c r="D21" s="18">
        <f t="shared" si="0"/>
        <v>0.42857142857142855</v>
      </c>
      <c r="E21" s="18">
        <f t="shared" si="1"/>
        <v>0.5</v>
      </c>
      <c r="F21" s="18">
        <f t="shared" si="2"/>
        <v>1</v>
      </c>
      <c r="G21" s="18">
        <f t="shared" si="3"/>
        <v>1</v>
      </c>
      <c r="H21" s="18">
        <f t="shared" si="4"/>
        <v>0.66666666666666663</v>
      </c>
      <c r="J21" s="25"/>
      <c r="K21" s="25"/>
    </row>
    <row r="22" spans="3:12" x14ac:dyDescent="0.35">
      <c r="C22" s="21"/>
      <c r="D22" s="21"/>
      <c r="E22" s="21"/>
      <c r="F22" s="21"/>
      <c r="G22" s="21"/>
      <c r="H22" s="21"/>
    </row>
  </sheetData>
  <mergeCells count="17">
    <mergeCell ref="C11:C12"/>
    <mergeCell ref="J15:J16"/>
    <mergeCell ref="K15:K16"/>
    <mergeCell ref="C15:C17"/>
    <mergeCell ref="D15:H15"/>
    <mergeCell ref="D16:D17"/>
    <mergeCell ref="E16:E17"/>
    <mergeCell ref="F16:F17"/>
    <mergeCell ref="G16:G17"/>
    <mergeCell ref="H16:H17"/>
    <mergeCell ref="D4:H4"/>
    <mergeCell ref="C4:C6"/>
    <mergeCell ref="D5:D6"/>
    <mergeCell ref="E5:E6"/>
    <mergeCell ref="F5:F6"/>
    <mergeCell ref="G5:G6"/>
    <mergeCell ref="H5:H6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3F40B-C2AF-45A9-9358-5A5AAF1AEC62}">
  <dimension ref="B2:J36"/>
  <sheetViews>
    <sheetView topLeftCell="A21" workbookViewId="0">
      <selection activeCell="J28" sqref="J28"/>
    </sheetView>
  </sheetViews>
  <sheetFormatPr defaultRowHeight="14.5" x14ac:dyDescent="0.35"/>
  <cols>
    <col min="1" max="1" width="8.7265625" customWidth="1"/>
    <col min="2" max="2" width="21.90625" bestFit="1" customWidth="1"/>
    <col min="3" max="3" width="29.7265625" bestFit="1" customWidth="1"/>
    <col min="4" max="4" width="10.6328125" customWidth="1"/>
    <col min="5" max="5" width="8.6328125" customWidth="1"/>
    <col min="6" max="6" width="34.54296875" bestFit="1" customWidth="1"/>
  </cols>
  <sheetData>
    <row r="2" spans="2:6" x14ac:dyDescent="0.35">
      <c r="E2" s="65" t="s">
        <v>47</v>
      </c>
      <c r="F2" s="66"/>
    </row>
    <row r="3" spans="2:6" x14ac:dyDescent="0.35">
      <c r="B3" s="67" t="s">
        <v>32</v>
      </c>
      <c r="C3" s="68"/>
      <c r="D3" s="33"/>
      <c r="E3" s="32" t="s">
        <v>2</v>
      </c>
      <c r="F3" s="32" t="s">
        <v>42</v>
      </c>
    </row>
    <row r="4" spans="2:6" x14ac:dyDescent="0.35">
      <c r="B4" s="32" t="s">
        <v>19</v>
      </c>
      <c r="C4" s="32" t="s">
        <v>33</v>
      </c>
      <c r="E4" s="32" t="s">
        <v>3</v>
      </c>
      <c r="F4" s="32" t="s">
        <v>43</v>
      </c>
    </row>
    <row r="5" spans="2:6" x14ac:dyDescent="0.35">
      <c r="B5" s="32" t="s">
        <v>20</v>
      </c>
      <c r="C5" s="32" t="s">
        <v>34</v>
      </c>
      <c r="E5" s="32" t="s">
        <v>4</v>
      </c>
      <c r="F5" s="32" t="s">
        <v>44</v>
      </c>
    </row>
    <row r="6" spans="2:6" x14ac:dyDescent="0.35">
      <c r="B6" s="32" t="s">
        <v>21</v>
      </c>
      <c r="C6" s="32" t="s">
        <v>35</v>
      </c>
      <c r="E6" s="32" t="s">
        <v>5</v>
      </c>
      <c r="F6" s="32" t="s">
        <v>45</v>
      </c>
    </row>
    <row r="7" spans="2:6" x14ac:dyDescent="0.35">
      <c r="E7" s="32" t="s">
        <v>24</v>
      </c>
      <c r="F7" s="32" t="s">
        <v>46</v>
      </c>
    </row>
    <row r="8" spans="2:6" x14ac:dyDescent="0.35">
      <c r="B8" s="74" t="s">
        <v>41</v>
      </c>
      <c r="C8" s="75"/>
    </row>
    <row r="9" spans="2:6" x14ac:dyDescent="0.35">
      <c r="B9" s="32">
        <v>1</v>
      </c>
      <c r="C9" s="32" t="s">
        <v>36</v>
      </c>
      <c r="E9" s="65" t="s">
        <v>48</v>
      </c>
      <c r="F9" s="66"/>
    </row>
    <row r="10" spans="2:6" x14ac:dyDescent="0.35">
      <c r="B10" s="32">
        <v>2</v>
      </c>
      <c r="C10" s="32" t="s">
        <v>37</v>
      </c>
      <c r="E10" s="32" t="s">
        <v>2</v>
      </c>
      <c r="F10" s="32" t="s">
        <v>49</v>
      </c>
    </row>
    <row r="11" spans="2:6" x14ac:dyDescent="0.35">
      <c r="B11" s="32">
        <v>3</v>
      </c>
      <c r="C11" s="32" t="s">
        <v>38</v>
      </c>
      <c r="E11" s="32" t="s">
        <v>3</v>
      </c>
      <c r="F11" s="32" t="s">
        <v>50</v>
      </c>
    </row>
    <row r="12" spans="2:6" x14ac:dyDescent="0.35">
      <c r="B12" s="32">
        <v>4</v>
      </c>
      <c r="C12" s="32" t="s">
        <v>39</v>
      </c>
      <c r="E12" s="32" t="s">
        <v>4</v>
      </c>
      <c r="F12" s="32" t="s">
        <v>49</v>
      </c>
    </row>
    <row r="13" spans="2:6" x14ac:dyDescent="0.35">
      <c r="B13" s="32">
        <v>5</v>
      </c>
      <c r="C13" s="32" t="s">
        <v>40</v>
      </c>
      <c r="E13" s="32" t="s">
        <v>5</v>
      </c>
      <c r="F13" s="32" t="s">
        <v>50</v>
      </c>
    </row>
    <row r="14" spans="2:6" x14ac:dyDescent="0.35">
      <c r="E14" s="32" t="s">
        <v>24</v>
      </c>
      <c r="F14" s="32" t="s">
        <v>49</v>
      </c>
    </row>
    <row r="16" spans="2:6" x14ac:dyDescent="0.35">
      <c r="D16" t="s">
        <v>56</v>
      </c>
    </row>
    <row r="17" spans="2:10" x14ac:dyDescent="0.35">
      <c r="B17" s="57" t="s">
        <v>0</v>
      </c>
      <c r="C17" s="69" t="s">
        <v>1</v>
      </c>
      <c r="D17" s="70"/>
      <c r="E17" s="70"/>
      <c r="F17" s="70"/>
      <c r="G17" s="71"/>
    </row>
    <row r="18" spans="2:10" x14ac:dyDescent="0.35">
      <c r="B18" s="58"/>
      <c r="C18" s="34" t="s">
        <v>2</v>
      </c>
      <c r="D18" s="34" t="s">
        <v>3</v>
      </c>
      <c r="E18" s="34" t="s">
        <v>4</v>
      </c>
      <c r="F18" s="34" t="s">
        <v>5</v>
      </c>
      <c r="G18" s="34" t="s">
        <v>24</v>
      </c>
    </row>
    <row r="19" spans="2:10" x14ac:dyDescent="0.35">
      <c r="B19" s="32" t="s">
        <v>51</v>
      </c>
      <c r="C19" s="32">
        <v>0.75</v>
      </c>
      <c r="D19" s="32">
        <v>2000</v>
      </c>
      <c r="E19" s="32">
        <v>18</v>
      </c>
      <c r="F19" s="32">
        <v>50</v>
      </c>
      <c r="G19" s="32">
        <v>500</v>
      </c>
    </row>
    <row r="20" spans="2:10" x14ac:dyDescent="0.35">
      <c r="B20" s="32" t="s">
        <v>52</v>
      </c>
      <c r="C20" s="32">
        <v>0.5</v>
      </c>
      <c r="D20" s="32">
        <v>1500</v>
      </c>
      <c r="E20" s="32">
        <v>20</v>
      </c>
      <c r="F20" s="32">
        <v>40</v>
      </c>
      <c r="G20" s="32">
        <v>450</v>
      </c>
    </row>
    <row r="21" spans="2:10" x14ac:dyDescent="0.35">
      <c r="B21" s="32" t="s">
        <v>53</v>
      </c>
      <c r="C21" s="32">
        <v>0.9</v>
      </c>
      <c r="D21" s="32">
        <v>2050</v>
      </c>
      <c r="E21" s="32">
        <v>35</v>
      </c>
      <c r="F21" s="32">
        <v>35</v>
      </c>
      <c r="G21" s="32">
        <v>800</v>
      </c>
    </row>
    <row r="22" spans="2:10" x14ac:dyDescent="0.35">
      <c r="B22" s="72" t="s">
        <v>25</v>
      </c>
      <c r="C22" s="23" t="s">
        <v>54</v>
      </c>
      <c r="D22" s="23" t="s">
        <v>55</v>
      </c>
      <c r="E22" s="23" t="s">
        <v>54</v>
      </c>
      <c r="F22" s="23" t="s">
        <v>55</v>
      </c>
      <c r="G22" s="23" t="s">
        <v>54</v>
      </c>
    </row>
    <row r="23" spans="2:10" x14ac:dyDescent="0.35">
      <c r="B23" s="73"/>
      <c r="C23" s="31">
        <f>MIN(C19:C21)</f>
        <v>0.5</v>
      </c>
      <c r="D23" s="31">
        <f>MAX(D19:D21)</f>
        <v>2050</v>
      </c>
      <c r="E23" s="31">
        <f>MIN(E19:E21)</f>
        <v>18</v>
      </c>
      <c r="F23" s="31">
        <f>MAX(F19:F21)</f>
        <v>50</v>
      </c>
      <c r="G23" s="31">
        <f>MIN(G19:G21)</f>
        <v>450</v>
      </c>
    </row>
    <row r="25" spans="2:10" x14ac:dyDescent="0.35">
      <c r="D25" t="s">
        <v>63</v>
      </c>
    </row>
    <row r="26" spans="2:10" x14ac:dyDescent="0.35">
      <c r="B26" s="35" t="s">
        <v>1</v>
      </c>
      <c r="C26" s="36" t="s">
        <v>2</v>
      </c>
      <c r="D26" s="36" t="s">
        <v>3</v>
      </c>
      <c r="E26" s="36" t="s">
        <v>4</v>
      </c>
      <c r="F26" s="36" t="s">
        <v>5</v>
      </c>
      <c r="G26" s="36" t="s">
        <v>24</v>
      </c>
      <c r="H26" s="36" t="s">
        <v>59</v>
      </c>
    </row>
    <row r="27" spans="2:10" x14ac:dyDescent="0.35">
      <c r="B27" s="35" t="s">
        <v>15</v>
      </c>
      <c r="C27" s="32">
        <v>9</v>
      </c>
      <c r="D27" s="32">
        <v>3</v>
      </c>
      <c r="E27" s="32">
        <v>4</v>
      </c>
      <c r="F27" s="32">
        <v>4</v>
      </c>
      <c r="G27" s="32">
        <v>2</v>
      </c>
      <c r="H27" s="32">
        <f>SUM(C27,D27,E27,F27,G27)</f>
        <v>22</v>
      </c>
    </row>
    <row r="28" spans="2:10" x14ac:dyDescent="0.35">
      <c r="B28" s="36" t="s">
        <v>57</v>
      </c>
      <c r="C28" s="32">
        <f>C27/$H$27</f>
        <v>0.40909090909090912</v>
      </c>
      <c r="D28" s="32">
        <f t="shared" ref="D28:F28" si="0">D27/$H$27</f>
        <v>0.13636363636363635</v>
      </c>
      <c r="E28" s="32">
        <f t="shared" si="0"/>
        <v>0.18181818181818182</v>
      </c>
      <c r="F28" s="32">
        <f t="shared" si="0"/>
        <v>0.18181818181818182</v>
      </c>
      <c r="G28" s="32">
        <f>G27/$H$27</f>
        <v>9.0909090909090912E-2</v>
      </c>
      <c r="H28" s="32">
        <f>SUM(C28:G28)</f>
        <v>1</v>
      </c>
    </row>
    <row r="29" spans="2:10" x14ac:dyDescent="0.35">
      <c r="B29" s="36" t="s">
        <v>58</v>
      </c>
      <c r="C29" s="32">
        <f>IF(C22="benefit",C28,C28*-1)</f>
        <v>-0.40909090909090912</v>
      </c>
      <c r="D29" s="32">
        <f t="shared" ref="D29:F29" si="1">IF(D22="benefit",D28,D28*-1)</f>
        <v>0.13636363636363635</v>
      </c>
      <c r="E29" s="32">
        <f t="shared" si="1"/>
        <v>-0.18181818181818182</v>
      </c>
      <c r="F29" s="32">
        <f t="shared" si="1"/>
        <v>0.18181818181818182</v>
      </c>
      <c r="G29" s="32">
        <f>IF(G22="benefit",G28,G28*-1)</f>
        <v>-9.0909090909090912E-2</v>
      </c>
      <c r="H29" s="32">
        <f>SUM(C29:G29)</f>
        <v>-0.36363636363636365</v>
      </c>
    </row>
    <row r="30" spans="2:10" x14ac:dyDescent="0.35">
      <c r="B30" s="20"/>
      <c r="C30" s="20"/>
      <c r="D30" s="20"/>
      <c r="E30" s="20"/>
      <c r="F30" s="20"/>
      <c r="G30" s="20"/>
    </row>
    <row r="31" spans="2:10" x14ac:dyDescent="0.35">
      <c r="D31" t="s">
        <v>62</v>
      </c>
    </row>
    <row r="32" spans="2:10" x14ac:dyDescent="0.35">
      <c r="B32" s="57" t="s">
        <v>0</v>
      </c>
      <c r="C32" s="59" t="s">
        <v>1</v>
      </c>
      <c r="D32" s="59"/>
      <c r="E32" s="59"/>
      <c r="F32" s="59"/>
      <c r="G32" s="59"/>
      <c r="H32" s="61" t="s">
        <v>60</v>
      </c>
      <c r="I32" s="62"/>
      <c r="J32" s="60" t="s">
        <v>61</v>
      </c>
    </row>
    <row r="33" spans="2:10" x14ac:dyDescent="0.35">
      <c r="B33" s="58"/>
      <c r="C33" s="34" t="s">
        <v>2</v>
      </c>
      <c r="D33" s="34" t="s">
        <v>3</v>
      </c>
      <c r="E33" s="34" t="s">
        <v>4</v>
      </c>
      <c r="F33" s="34" t="s">
        <v>5</v>
      </c>
      <c r="G33" s="34" t="s">
        <v>24</v>
      </c>
      <c r="H33" s="63"/>
      <c r="I33" s="64"/>
      <c r="J33" s="60"/>
    </row>
    <row r="34" spans="2:10" x14ac:dyDescent="0.35">
      <c r="B34" s="32" t="s">
        <v>51</v>
      </c>
      <c r="C34" s="32">
        <f>C19^$C$29</f>
        <v>1.1248932255709148</v>
      </c>
      <c r="D34" s="32">
        <f>D19^$D$29</f>
        <v>2.819294563949974</v>
      </c>
      <c r="E34" s="32">
        <f>E19^$E$29</f>
        <v>0.59124657157390903</v>
      </c>
      <c r="F34" s="32">
        <f>F19^$F$29</f>
        <v>2.0365901414998948</v>
      </c>
      <c r="G34" s="32">
        <f>G19^$G$29</f>
        <v>0.56838039632173787</v>
      </c>
      <c r="H34" s="31">
        <f>C34*D34*E34*F34*G34</f>
        <v>2.1705166337211264</v>
      </c>
      <c r="I34" s="31">
        <f>H34/($H$34+$H$35+$H$36)</f>
        <v>0.35454277926491046</v>
      </c>
      <c r="J34" s="31">
        <f>_xlfn.RANK.AVG(I34,$I$34:$I$36)</f>
        <v>2</v>
      </c>
    </row>
    <row r="35" spans="2:10" x14ac:dyDescent="0.35">
      <c r="B35" s="32" t="s">
        <v>52</v>
      </c>
      <c r="C35" s="32">
        <f t="shared" ref="C35:C36" si="2">C20^$C$29</f>
        <v>1.3278488279891061</v>
      </c>
      <c r="D35" s="32">
        <f t="shared" ref="D35:D36" si="3">D20^$D$29</f>
        <v>2.7108366807132089</v>
      </c>
      <c r="E35" s="32">
        <f t="shared" ref="E35:E36" si="4">E20^$E$29</f>
        <v>0.58002817722944444</v>
      </c>
      <c r="F35" s="32">
        <f t="shared" ref="F35:F36" si="5">F20^$F$29</f>
        <v>1.9556162385310416</v>
      </c>
      <c r="G35" s="32">
        <f t="shared" ref="G35:G36" si="6">G20^$G$29</f>
        <v>0.57385062949531163</v>
      </c>
      <c r="H35" s="31">
        <f t="shared" ref="H35:H36" si="7">C35*D35*E35*F35*G35</f>
        <v>2.3430609010546473</v>
      </c>
      <c r="I35" s="31">
        <f t="shared" ref="I35:I36" si="8">H35/($H$34+$H$35+$H$36)</f>
        <v>0.38272700192243381</v>
      </c>
      <c r="J35" s="31">
        <f t="shared" ref="J35:J36" si="9">_xlfn.RANK.AVG(I35,$I$34:$I$36)</f>
        <v>1</v>
      </c>
    </row>
    <row r="36" spans="2:10" x14ac:dyDescent="0.35">
      <c r="B36" s="32" t="s">
        <v>53</v>
      </c>
      <c r="C36" s="32">
        <f t="shared" si="2"/>
        <v>1.0440444123625183</v>
      </c>
      <c r="D36" s="32">
        <f t="shared" si="3"/>
        <v>2.8288036208986225</v>
      </c>
      <c r="E36" s="32">
        <f t="shared" si="4"/>
        <v>0.52391442436904945</v>
      </c>
      <c r="F36" s="32">
        <f t="shared" si="5"/>
        <v>1.9087086621146205</v>
      </c>
      <c r="G36" s="32">
        <f t="shared" si="6"/>
        <v>0.54460638465549194</v>
      </c>
      <c r="H36" s="31">
        <f t="shared" si="7"/>
        <v>1.6084386524424699</v>
      </c>
      <c r="I36" s="31">
        <f t="shared" si="8"/>
        <v>0.26273021881265579</v>
      </c>
      <c r="J36" s="31">
        <f t="shared" si="9"/>
        <v>3</v>
      </c>
    </row>
  </sheetData>
  <mergeCells count="11">
    <mergeCell ref="B32:B33"/>
    <mergeCell ref="C32:G32"/>
    <mergeCell ref="J32:J33"/>
    <mergeCell ref="H32:I33"/>
    <mergeCell ref="E2:F2"/>
    <mergeCell ref="E9:F9"/>
    <mergeCell ref="B3:C3"/>
    <mergeCell ref="B17:B18"/>
    <mergeCell ref="C17:G17"/>
    <mergeCell ref="B22:B23"/>
    <mergeCell ref="B8:C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EBE23-B4B3-4112-90FA-1605DB88057F}">
  <dimension ref="B2:I48"/>
  <sheetViews>
    <sheetView tabSelected="1" topLeftCell="A36" workbookViewId="0">
      <selection activeCell="I42" sqref="I42:I48"/>
    </sheetView>
  </sheetViews>
  <sheetFormatPr defaultRowHeight="14.5" x14ac:dyDescent="0.35"/>
  <cols>
    <col min="2" max="2" width="10.81640625" bestFit="1" customWidth="1"/>
    <col min="3" max="3" width="9.90625" bestFit="1" customWidth="1"/>
  </cols>
  <sheetData>
    <row r="2" spans="2:9" x14ac:dyDescent="0.35">
      <c r="D2" t="s">
        <v>67</v>
      </c>
    </row>
    <row r="3" spans="2:9" x14ac:dyDescent="0.35">
      <c r="B3" s="32" t="s">
        <v>1</v>
      </c>
      <c r="C3" s="32" t="s">
        <v>64</v>
      </c>
      <c r="D3" s="32"/>
      <c r="E3" s="32"/>
    </row>
    <row r="4" spans="2:9" x14ac:dyDescent="0.35">
      <c r="B4" s="32" t="s">
        <v>2</v>
      </c>
      <c r="C4" s="76">
        <v>0.15</v>
      </c>
      <c r="D4" s="32">
        <v>0.15</v>
      </c>
      <c r="E4" s="32"/>
    </row>
    <row r="5" spans="2:9" x14ac:dyDescent="0.35">
      <c r="B5" s="32" t="s">
        <v>3</v>
      </c>
      <c r="C5" s="76">
        <v>0.05</v>
      </c>
      <c r="D5" s="32">
        <v>0.05</v>
      </c>
      <c r="E5" s="32"/>
    </row>
    <row r="6" spans="2:9" x14ac:dyDescent="0.35">
      <c r="B6" s="32" t="s">
        <v>4</v>
      </c>
      <c r="C6" s="76">
        <v>0.15</v>
      </c>
      <c r="D6" s="32">
        <v>0.15</v>
      </c>
      <c r="E6" s="32"/>
    </row>
    <row r="7" spans="2:9" x14ac:dyDescent="0.35">
      <c r="B7" s="32" t="s">
        <v>5</v>
      </c>
      <c r="C7" s="76">
        <v>0.2</v>
      </c>
      <c r="D7" s="32">
        <v>0.2</v>
      </c>
      <c r="E7" s="32"/>
    </row>
    <row r="8" spans="2:9" x14ac:dyDescent="0.35">
      <c r="B8" s="32" t="s">
        <v>24</v>
      </c>
      <c r="C8" s="76">
        <v>0.15</v>
      </c>
      <c r="D8" s="32">
        <v>0.15</v>
      </c>
      <c r="E8" s="32"/>
    </row>
    <row r="9" spans="2:9" x14ac:dyDescent="0.35">
      <c r="B9" s="32" t="s">
        <v>65</v>
      </c>
      <c r="C9" s="76">
        <v>0.2</v>
      </c>
      <c r="D9" s="32">
        <v>0.2</v>
      </c>
      <c r="E9" s="32"/>
    </row>
    <row r="10" spans="2:9" x14ac:dyDescent="0.35">
      <c r="B10" s="32" t="s">
        <v>66</v>
      </c>
      <c r="C10" s="76">
        <v>0.1</v>
      </c>
      <c r="D10" s="32">
        <v>0.1</v>
      </c>
      <c r="E10" s="32"/>
    </row>
    <row r="13" spans="2:9" x14ac:dyDescent="0.35">
      <c r="G13" t="s">
        <v>68</v>
      </c>
    </row>
    <row r="15" spans="2:9" x14ac:dyDescent="0.35">
      <c r="B15" s="80" t="s">
        <v>69</v>
      </c>
      <c r="C15" s="77" t="s">
        <v>70</v>
      </c>
      <c r="D15" s="78"/>
      <c r="E15" s="78"/>
      <c r="F15" s="78"/>
      <c r="G15" s="78"/>
      <c r="H15" s="78"/>
      <c r="I15" s="79"/>
    </row>
    <row r="16" spans="2:9" x14ac:dyDescent="0.35">
      <c r="B16" s="81"/>
      <c r="C16" s="82" t="s">
        <v>2</v>
      </c>
      <c r="D16" s="82" t="s">
        <v>3</v>
      </c>
      <c r="E16" s="82" t="s">
        <v>4</v>
      </c>
      <c r="F16" s="82" t="s">
        <v>5</v>
      </c>
      <c r="G16" s="82" t="s">
        <v>24</v>
      </c>
      <c r="H16" s="82" t="s">
        <v>65</v>
      </c>
      <c r="I16" s="82" t="s">
        <v>66</v>
      </c>
    </row>
    <row r="17" spans="2:9" x14ac:dyDescent="0.35">
      <c r="B17" s="32" t="s">
        <v>19</v>
      </c>
      <c r="C17" s="32">
        <v>4</v>
      </c>
      <c r="D17" s="32">
        <v>3</v>
      </c>
      <c r="E17" s="32">
        <v>4</v>
      </c>
      <c r="F17" s="32">
        <v>4</v>
      </c>
      <c r="G17" s="32">
        <v>3</v>
      </c>
      <c r="H17" s="32">
        <v>4</v>
      </c>
      <c r="I17" s="32">
        <v>4</v>
      </c>
    </row>
    <row r="18" spans="2:9" x14ac:dyDescent="0.35">
      <c r="B18" s="32" t="s">
        <v>20</v>
      </c>
      <c r="C18" s="32">
        <v>3</v>
      </c>
      <c r="D18" s="32">
        <v>4</v>
      </c>
      <c r="E18" s="32">
        <v>4</v>
      </c>
      <c r="F18" s="32">
        <v>3</v>
      </c>
      <c r="G18" s="32">
        <v>4</v>
      </c>
      <c r="H18" s="32">
        <v>3</v>
      </c>
      <c r="I18" s="32">
        <v>4</v>
      </c>
    </row>
    <row r="19" spans="2:9" x14ac:dyDescent="0.35">
      <c r="B19" s="32" t="s">
        <v>21</v>
      </c>
      <c r="C19" s="32">
        <v>4</v>
      </c>
      <c r="D19" s="32">
        <v>3</v>
      </c>
      <c r="E19" s="32">
        <v>3</v>
      </c>
      <c r="F19" s="32">
        <v>4</v>
      </c>
      <c r="G19" s="32">
        <v>4</v>
      </c>
      <c r="H19" s="32">
        <v>3</v>
      </c>
      <c r="I19" s="32">
        <v>3</v>
      </c>
    </row>
    <row r="20" spans="2:9" x14ac:dyDescent="0.35">
      <c r="B20" s="32" t="s">
        <v>22</v>
      </c>
      <c r="C20" s="32">
        <v>3</v>
      </c>
      <c r="D20" s="32">
        <v>4</v>
      </c>
      <c r="E20" s="32">
        <v>4</v>
      </c>
      <c r="F20" s="32">
        <v>3</v>
      </c>
      <c r="G20" s="32">
        <v>4</v>
      </c>
      <c r="H20" s="32">
        <v>3</v>
      </c>
      <c r="I20" s="32">
        <v>4</v>
      </c>
    </row>
    <row r="21" spans="2:9" x14ac:dyDescent="0.35">
      <c r="B21" s="32" t="s">
        <v>71</v>
      </c>
      <c r="C21" s="32">
        <v>3</v>
      </c>
      <c r="D21" s="32">
        <v>4</v>
      </c>
      <c r="E21" s="32">
        <v>4</v>
      </c>
      <c r="F21" s="32">
        <v>3</v>
      </c>
      <c r="G21" s="32">
        <v>4</v>
      </c>
      <c r="H21" s="32">
        <v>3</v>
      </c>
      <c r="I21" s="32">
        <v>4</v>
      </c>
    </row>
    <row r="22" spans="2:9" x14ac:dyDescent="0.35">
      <c r="B22" s="32" t="s">
        <v>72</v>
      </c>
      <c r="C22" s="32">
        <v>3</v>
      </c>
      <c r="D22" s="32">
        <v>3</v>
      </c>
      <c r="E22" s="32">
        <v>4</v>
      </c>
      <c r="F22" s="32">
        <v>3</v>
      </c>
      <c r="G22" s="32">
        <v>4</v>
      </c>
      <c r="H22" s="32">
        <v>4</v>
      </c>
      <c r="I22" s="32">
        <v>3</v>
      </c>
    </row>
    <row r="23" spans="2:9" x14ac:dyDescent="0.35">
      <c r="B23" s="32" t="s">
        <v>73</v>
      </c>
      <c r="C23" s="32">
        <v>4</v>
      </c>
      <c r="D23" s="32">
        <v>4</v>
      </c>
      <c r="E23" s="32">
        <v>3</v>
      </c>
      <c r="F23" s="32">
        <v>3</v>
      </c>
      <c r="G23" s="32">
        <v>4</v>
      </c>
      <c r="H23" s="32">
        <v>4</v>
      </c>
      <c r="I23" s="32">
        <v>4</v>
      </c>
    </row>
    <row r="25" spans="2:9" x14ac:dyDescent="0.35">
      <c r="E25" t="s">
        <v>74</v>
      </c>
    </row>
    <row r="26" spans="2:9" x14ac:dyDescent="0.35">
      <c r="B26" s="80" t="s">
        <v>69</v>
      </c>
      <c r="C26" s="77" t="s">
        <v>70</v>
      </c>
      <c r="D26" s="78"/>
      <c r="E26" s="78"/>
      <c r="F26" s="78"/>
      <c r="G26" s="78"/>
      <c r="H26" s="78"/>
      <c r="I26" s="79"/>
    </row>
    <row r="27" spans="2:9" x14ac:dyDescent="0.35">
      <c r="B27" s="81"/>
      <c r="C27" s="82" t="s">
        <v>2</v>
      </c>
      <c r="D27" s="82" t="s">
        <v>3</v>
      </c>
      <c r="E27" s="82" t="s">
        <v>4</v>
      </c>
      <c r="F27" s="82" t="s">
        <v>5</v>
      </c>
      <c r="G27" s="82" t="s">
        <v>24</v>
      </c>
      <c r="H27" s="82" t="s">
        <v>65</v>
      </c>
      <c r="I27" s="82" t="s">
        <v>66</v>
      </c>
    </row>
    <row r="28" spans="2:9" x14ac:dyDescent="0.35">
      <c r="B28" s="32" t="s">
        <v>19</v>
      </c>
      <c r="C28" s="32">
        <f>C17^2</f>
        <v>16</v>
      </c>
      <c r="D28" s="32">
        <f>D17^2</f>
        <v>9</v>
      </c>
      <c r="E28" s="32">
        <f>E17^2</f>
        <v>16</v>
      </c>
      <c r="F28" s="32">
        <f>F17^2</f>
        <v>16</v>
      </c>
      <c r="G28" s="32">
        <f>G17^2</f>
        <v>9</v>
      </c>
      <c r="H28" s="32">
        <f>H17^2</f>
        <v>16</v>
      </c>
      <c r="I28" s="32">
        <f>I17^2</f>
        <v>16</v>
      </c>
    </row>
    <row r="29" spans="2:9" x14ac:dyDescent="0.35">
      <c r="B29" s="32" t="s">
        <v>20</v>
      </c>
      <c r="C29" s="32">
        <f t="shared" ref="C29:I34" si="0">C18^2</f>
        <v>9</v>
      </c>
      <c r="D29" s="32">
        <f t="shared" si="0"/>
        <v>16</v>
      </c>
      <c r="E29" s="32">
        <f t="shared" si="0"/>
        <v>16</v>
      </c>
      <c r="F29" s="32">
        <f t="shared" si="0"/>
        <v>9</v>
      </c>
      <c r="G29" s="32">
        <f t="shared" si="0"/>
        <v>16</v>
      </c>
      <c r="H29" s="32">
        <f t="shared" si="0"/>
        <v>9</v>
      </c>
      <c r="I29" s="32">
        <f t="shared" si="0"/>
        <v>16</v>
      </c>
    </row>
    <row r="30" spans="2:9" x14ac:dyDescent="0.35">
      <c r="B30" s="32" t="s">
        <v>21</v>
      </c>
      <c r="C30" s="32">
        <f t="shared" si="0"/>
        <v>16</v>
      </c>
      <c r="D30" s="32">
        <f t="shared" si="0"/>
        <v>9</v>
      </c>
      <c r="E30" s="32">
        <f t="shared" si="0"/>
        <v>9</v>
      </c>
      <c r="F30" s="32">
        <f t="shared" si="0"/>
        <v>16</v>
      </c>
      <c r="G30" s="32">
        <f t="shared" si="0"/>
        <v>16</v>
      </c>
      <c r="H30" s="32">
        <f t="shared" si="0"/>
        <v>9</v>
      </c>
      <c r="I30" s="32">
        <f t="shared" si="0"/>
        <v>9</v>
      </c>
    </row>
    <row r="31" spans="2:9" x14ac:dyDescent="0.35">
      <c r="B31" s="32" t="s">
        <v>22</v>
      </c>
      <c r="C31" s="32">
        <f t="shared" si="0"/>
        <v>9</v>
      </c>
      <c r="D31" s="32">
        <f t="shared" si="0"/>
        <v>16</v>
      </c>
      <c r="E31" s="32">
        <f t="shared" si="0"/>
        <v>16</v>
      </c>
      <c r="F31" s="32">
        <f t="shared" si="0"/>
        <v>9</v>
      </c>
      <c r="G31" s="32">
        <f t="shared" si="0"/>
        <v>16</v>
      </c>
      <c r="H31" s="32">
        <f t="shared" si="0"/>
        <v>9</v>
      </c>
      <c r="I31" s="32">
        <f t="shared" si="0"/>
        <v>16</v>
      </c>
    </row>
    <row r="32" spans="2:9" x14ac:dyDescent="0.35">
      <c r="B32" s="32" t="s">
        <v>71</v>
      </c>
      <c r="C32" s="32">
        <f t="shared" si="0"/>
        <v>9</v>
      </c>
      <c r="D32" s="32">
        <f t="shared" si="0"/>
        <v>16</v>
      </c>
      <c r="E32" s="32">
        <f t="shared" si="0"/>
        <v>16</v>
      </c>
      <c r="F32" s="32">
        <f t="shared" si="0"/>
        <v>9</v>
      </c>
      <c r="G32" s="32">
        <f t="shared" si="0"/>
        <v>16</v>
      </c>
      <c r="H32" s="32">
        <f t="shared" si="0"/>
        <v>9</v>
      </c>
      <c r="I32" s="32">
        <f t="shared" si="0"/>
        <v>16</v>
      </c>
    </row>
    <row r="33" spans="2:9" x14ac:dyDescent="0.35">
      <c r="B33" s="32" t="s">
        <v>72</v>
      </c>
      <c r="C33" s="32">
        <f t="shared" si="0"/>
        <v>9</v>
      </c>
      <c r="D33" s="32">
        <f t="shared" si="0"/>
        <v>9</v>
      </c>
      <c r="E33" s="32">
        <f t="shared" si="0"/>
        <v>16</v>
      </c>
      <c r="F33" s="32">
        <f t="shared" si="0"/>
        <v>9</v>
      </c>
      <c r="G33" s="32">
        <f t="shared" si="0"/>
        <v>16</v>
      </c>
      <c r="H33" s="32">
        <f t="shared" si="0"/>
        <v>16</v>
      </c>
      <c r="I33" s="32">
        <f t="shared" si="0"/>
        <v>9</v>
      </c>
    </row>
    <row r="34" spans="2:9" x14ac:dyDescent="0.35">
      <c r="B34" s="32" t="s">
        <v>73</v>
      </c>
      <c r="C34" s="32">
        <f t="shared" si="0"/>
        <v>16</v>
      </c>
      <c r="D34" s="32">
        <f t="shared" si="0"/>
        <v>16</v>
      </c>
      <c r="E34" s="32">
        <f t="shared" si="0"/>
        <v>9</v>
      </c>
      <c r="F34" s="32">
        <f t="shared" si="0"/>
        <v>9</v>
      </c>
      <c r="G34" s="32">
        <f t="shared" si="0"/>
        <v>16</v>
      </c>
      <c r="H34" s="32">
        <f t="shared" si="0"/>
        <v>16</v>
      </c>
      <c r="I34" s="32">
        <f t="shared" si="0"/>
        <v>16</v>
      </c>
    </row>
    <row r="35" spans="2:9" x14ac:dyDescent="0.35">
      <c r="B35" s="83" t="s">
        <v>75</v>
      </c>
      <c r="C35" s="83">
        <f>SUM(C28:C34)</f>
        <v>84</v>
      </c>
      <c r="D35" s="83">
        <f>SUM(D28:D34)</f>
        <v>91</v>
      </c>
      <c r="E35" s="83">
        <f>SUM(E28:E34)</f>
        <v>98</v>
      </c>
      <c r="F35" s="83">
        <f>SUM(F28:F34)</f>
        <v>77</v>
      </c>
      <c r="G35" s="83">
        <f>SUM(G28:G34)</f>
        <v>105</v>
      </c>
      <c r="H35" s="83">
        <f>SUM(H28:H34)</f>
        <v>84</v>
      </c>
      <c r="I35" s="83">
        <f>SUM(I28:I34)</f>
        <v>98</v>
      </c>
    </row>
    <row r="36" spans="2:9" x14ac:dyDescent="0.35">
      <c r="B36" s="83" t="s">
        <v>76</v>
      </c>
      <c r="C36" s="83" cm="1">
        <f t="array" ref="C36:I36">SQRT(C35:I35)</f>
        <v>9.1651513899116797</v>
      </c>
      <c r="D36" s="31">
        <v>9.5393920141694561</v>
      </c>
      <c r="E36" s="31">
        <v>9.8994949366116654</v>
      </c>
      <c r="F36" s="31">
        <v>8.7749643873921226</v>
      </c>
      <c r="G36" s="31">
        <v>10.246950765959598</v>
      </c>
      <c r="H36" s="31">
        <v>9.1651513899116797</v>
      </c>
      <c r="I36" s="31">
        <v>9.8994949366116654</v>
      </c>
    </row>
    <row r="39" spans="2:9" x14ac:dyDescent="0.35">
      <c r="E39" t="s">
        <v>77</v>
      </c>
    </row>
    <row r="40" spans="2:9" x14ac:dyDescent="0.35">
      <c r="B40" s="80" t="s">
        <v>69</v>
      </c>
      <c r="C40" s="77" t="s">
        <v>70</v>
      </c>
      <c r="D40" s="78"/>
      <c r="E40" s="78"/>
      <c r="F40" s="78"/>
      <c r="G40" s="78"/>
      <c r="H40" s="78"/>
      <c r="I40" s="79"/>
    </row>
    <row r="41" spans="2:9" x14ac:dyDescent="0.35">
      <c r="B41" s="81"/>
      <c r="C41" s="82" t="s">
        <v>2</v>
      </c>
      <c r="D41" s="82" t="s">
        <v>3</v>
      </c>
      <c r="E41" s="82" t="s">
        <v>4</v>
      </c>
      <c r="F41" s="82" t="s">
        <v>5</v>
      </c>
      <c r="G41" s="82" t="s">
        <v>24</v>
      </c>
      <c r="H41" s="82" t="s">
        <v>65</v>
      </c>
      <c r="I41" s="82" t="s">
        <v>66</v>
      </c>
    </row>
    <row r="42" spans="2:9" x14ac:dyDescent="0.35">
      <c r="B42" s="32" t="s">
        <v>19</v>
      </c>
      <c r="C42" s="32">
        <f>C17/$C$36</f>
        <v>0.43643578047198478</v>
      </c>
      <c r="D42" s="32">
        <f>D17/$D$36</f>
        <v>0.31448545101657549</v>
      </c>
      <c r="E42" s="32">
        <f>E17/$E$36</f>
        <v>0.40406101782088427</v>
      </c>
      <c r="F42" s="32">
        <f>F17/$F$36</f>
        <v>0.45584230583855179</v>
      </c>
      <c r="G42" s="32">
        <f>G17/$G$36</f>
        <v>0.29277002188455997</v>
      </c>
      <c r="H42" s="32">
        <f>H17/$H$36</f>
        <v>0.43643578047198478</v>
      </c>
      <c r="I42" s="32">
        <f>I17/$I$36</f>
        <v>0.40406101782088427</v>
      </c>
    </row>
    <row r="43" spans="2:9" x14ac:dyDescent="0.35">
      <c r="B43" s="32" t="s">
        <v>20</v>
      </c>
      <c r="C43" s="32">
        <f t="shared" ref="C43:C48" si="1">C18/$C$36</f>
        <v>0.3273268353539886</v>
      </c>
      <c r="D43" s="32">
        <f t="shared" ref="D43:D48" si="2">D18/$D$36</f>
        <v>0.41931393468876732</v>
      </c>
      <c r="E43" s="32">
        <f t="shared" ref="E43:E48" si="3">E18/$E$36</f>
        <v>0.40406101782088427</v>
      </c>
      <c r="F43" s="32">
        <f t="shared" ref="F43:F48" si="4">F18/$F$36</f>
        <v>0.34188172937891381</v>
      </c>
      <c r="G43" s="32">
        <f t="shared" ref="G43:G48" si="5">G18/$G$36</f>
        <v>0.39036002917941331</v>
      </c>
      <c r="H43" s="32">
        <f t="shared" ref="H43:H48" si="6">H18/$H$36</f>
        <v>0.3273268353539886</v>
      </c>
      <c r="I43" s="32">
        <f t="shared" ref="I43:I48" si="7">I18/$I$36</f>
        <v>0.40406101782088427</v>
      </c>
    </row>
    <row r="44" spans="2:9" x14ac:dyDescent="0.35">
      <c r="B44" s="32" t="s">
        <v>21</v>
      </c>
      <c r="C44" s="32">
        <f t="shared" si="1"/>
        <v>0.43643578047198478</v>
      </c>
      <c r="D44" s="32">
        <f t="shared" si="2"/>
        <v>0.31448545101657549</v>
      </c>
      <c r="E44" s="32">
        <f t="shared" si="3"/>
        <v>0.30304576336566325</v>
      </c>
      <c r="F44" s="32">
        <f t="shared" si="4"/>
        <v>0.45584230583855179</v>
      </c>
      <c r="G44" s="32">
        <f t="shared" si="5"/>
        <v>0.39036002917941331</v>
      </c>
      <c r="H44" s="32">
        <f t="shared" si="6"/>
        <v>0.3273268353539886</v>
      </c>
      <c r="I44" s="32">
        <f t="shared" si="7"/>
        <v>0.30304576336566325</v>
      </c>
    </row>
    <row r="45" spans="2:9" x14ac:dyDescent="0.35">
      <c r="B45" s="32" t="s">
        <v>22</v>
      </c>
      <c r="C45" s="32">
        <f t="shared" si="1"/>
        <v>0.3273268353539886</v>
      </c>
      <c r="D45" s="32">
        <f t="shared" si="2"/>
        <v>0.41931393468876732</v>
      </c>
      <c r="E45" s="32">
        <f t="shared" si="3"/>
        <v>0.40406101782088427</v>
      </c>
      <c r="F45" s="32">
        <f t="shared" si="4"/>
        <v>0.34188172937891381</v>
      </c>
      <c r="G45" s="32">
        <f t="shared" si="5"/>
        <v>0.39036002917941331</v>
      </c>
      <c r="H45" s="32">
        <f t="shared" si="6"/>
        <v>0.3273268353539886</v>
      </c>
      <c r="I45" s="32">
        <f t="shared" si="7"/>
        <v>0.40406101782088427</v>
      </c>
    </row>
    <row r="46" spans="2:9" x14ac:dyDescent="0.35">
      <c r="B46" s="32" t="s">
        <v>71</v>
      </c>
      <c r="C46" s="32">
        <f t="shared" si="1"/>
        <v>0.3273268353539886</v>
      </c>
      <c r="D46" s="32">
        <f t="shared" si="2"/>
        <v>0.41931393468876732</v>
      </c>
      <c r="E46" s="32">
        <f t="shared" si="3"/>
        <v>0.40406101782088427</v>
      </c>
      <c r="F46" s="32">
        <f t="shared" si="4"/>
        <v>0.34188172937891381</v>
      </c>
      <c r="G46" s="32">
        <f t="shared" si="5"/>
        <v>0.39036002917941331</v>
      </c>
      <c r="H46" s="32">
        <f t="shared" si="6"/>
        <v>0.3273268353539886</v>
      </c>
      <c r="I46" s="32">
        <f t="shared" si="7"/>
        <v>0.40406101782088427</v>
      </c>
    </row>
    <row r="47" spans="2:9" x14ac:dyDescent="0.35">
      <c r="B47" s="32" t="s">
        <v>72</v>
      </c>
      <c r="C47" s="32">
        <f t="shared" si="1"/>
        <v>0.3273268353539886</v>
      </c>
      <c r="D47" s="32">
        <f t="shared" si="2"/>
        <v>0.31448545101657549</v>
      </c>
      <c r="E47" s="32">
        <f t="shared" si="3"/>
        <v>0.40406101782088427</v>
      </c>
      <c r="F47" s="32">
        <f t="shared" si="4"/>
        <v>0.34188172937891381</v>
      </c>
      <c r="G47" s="32">
        <f t="shared" si="5"/>
        <v>0.39036002917941331</v>
      </c>
      <c r="H47" s="32">
        <f t="shared" si="6"/>
        <v>0.43643578047198478</v>
      </c>
      <c r="I47" s="32">
        <f t="shared" si="7"/>
        <v>0.30304576336566325</v>
      </c>
    </row>
    <row r="48" spans="2:9" x14ac:dyDescent="0.35">
      <c r="B48" s="32" t="s">
        <v>73</v>
      </c>
      <c r="C48" s="32">
        <f t="shared" si="1"/>
        <v>0.43643578047198478</v>
      </c>
      <c r="D48" s="32">
        <f t="shared" si="2"/>
        <v>0.41931393468876732</v>
      </c>
      <c r="E48" s="32">
        <f t="shared" si="3"/>
        <v>0.30304576336566325</v>
      </c>
      <c r="F48" s="32">
        <f t="shared" si="4"/>
        <v>0.34188172937891381</v>
      </c>
      <c r="G48" s="32">
        <f t="shared" si="5"/>
        <v>0.39036002917941331</v>
      </c>
      <c r="H48" s="32">
        <f t="shared" si="6"/>
        <v>0.43643578047198478</v>
      </c>
      <c r="I48" s="32">
        <f t="shared" si="7"/>
        <v>0.40406101782088427</v>
      </c>
    </row>
  </sheetData>
  <mergeCells count="6">
    <mergeCell ref="C15:I15"/>
    <mergeCell ref="B15:B16"/>
    <mergeCell ref="B26:B27"/>
    <mergeCell ref="C26:I26"/>
    <mergeCell ref="B40:B41"/>
    <mergeCell ref="C40:I40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Winto Zalukhu</dc:creator>
  <cp:lastModifiedBy>farhan hafidzan</cp:lastModifiedBy>
  <dcterms:created xsi:type="dcterms:W3CDTF">2025-05-19T14:23:17Z</dcterms:created>
  <dcterms:modified xsi:type="dcterms:W3CDTF">2025-06-11T04:38:37Z</dcterms:modified>
</cp:coreProperties>
</file>