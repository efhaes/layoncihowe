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 CIDOKOM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13" i="1" s="1"/>
  <c r="L13" i="1" s="1"/>
  <c r="H20" i="1" s="1"/>
  <c r="H8" i="1"/>
  <c r="H9" i="1"/>
  <c r="H10" i="1"/>
  <c r="H11" i="1"/>
  <c r="J13" i="1"/>
  <c r="J6" i="1" l="1"/>
  <c r="J7" i="1"/>
  <c r="J8" i="1"/>
  <c r="J5" i="1"/>
  <c r="E5" i="1" l="1"/>
  <c r="C8" i="1"/>
  <c r="H15" i="1"/>
  <c r="I28" i="1" l="1"/>
  <c r="C13" i="1"/>
  <c r="E15" i="1" l="1"/>
  <c r="E13" i="1" l="1"/>
</calcChain>
</file>

<file path=xl/sharedStrings.xml><?xml version="1.0" encoding="utf-8"?>
<sst xmlns="http://schemas.openxmlformats.org/spreadsheetml/2006/main" count="17" uniqueCount="17">
  <si>
    <t>Earmark</t>
  </si>
  <si>
    <t>Non Earmark</t>
  </si>
  <si>
    <t>1. BLT</t>
  </si>
  <si>
    <t>2. Proklim</t>
  </si>
  <si>
    <t>3. PKTD</t>
  </si>
  <si>
    <t>4. Ketapang</t>
  </si>
  <si>
    <t>5. Stunting</t>
  </si>
  <si>
    <t>6. Potensi Desa</t>
  </si>
  <si>
    <t xml:space="preserve">7. TI </t>
  </si>
  <si>
    <t>PAGU</t>
  </si>
  <si>
    <t>1. OP Desa</t>
  </si>
  <si>
    <t>3.PMT</t>
  </si>
  <si>
    <t>4.EHDW</t>
  </si>
  <si>
    <t>2. Pengaspalan</t>
  </si>
  <si>
    <t>EARMARK tahap 1</t>
  </si>
  <si>
    <t>NON EARMARK tahap 1</t>
  </si>
  <si>
    <t>Sisa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</si>
</sst>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1" applyFont="1"/>
    <xf numFmtId="164" fontId="0" fillId="2" borderId="0" xfId="1" applyFont="1" applyFill="1"/>
    <xf numFmtId="43" fontId="0" fillId="0" borderId="0" xfId="0" applyNumberFormat="1"/>
    <xf numFmtId="0" fontId="3" fillId="3" borderId="0" xfId="0" applyFont="1" applyFill="1"/>
  </cellXfs>
  <cellStyles count="3">
    <cellStyle name="Comma" xfId="1" builtinId="3"/>
    <cellStyle name="Normal" xfId="0" builtinId="0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J22" sqref="J22"/>
    </sheetView>
  </sheetViews>
  <sheetFormatPr defaultRowHeight="15" x14ac:dyDescent="0.25"/>
  <cols>
    <col min="2" max="2" width="16.85546875" customWidth="1"/>
    <col min="3" max="3" width="24.85546875" style="2" customWidth="1"/>
    <col min="4" max="4" width="17" customWidth="1"/>
    <col min="5" max="5" width="16.5703125" style="2" customWidth="1"/>
    <col min="8" max="8" width="19.140625" customWidth="1"/>
    <col min="9" max="9" width="9.85546875" bestFit="1" customWidth="1"/>
    <col min="10" max="10" width="21.7109375" bestFit="1" customWidth="1"/>
    <col min="12" max="12" width="15.28515625" bestFit="1" customWidth="1"/>
  </cols>
  <sheetData>
    <row r="1" spans="1:12" x14ac:dyDescent="0.25">
      <c r="F1" s="5"/>
    </row>
    <row r="2" spans="1:12" x14ac:dyDescent="0.25">
      <c r="A2" t="s">
        <v>9</v>
      </c>
      <c r="B2" s="1">
        <v>1304365000</v>
      </c>
      <c r="F2" s="5"/>
    </row>
    <row r="3" spans="1:12" x14ac:dyDescent="0.25">
      <c r="F3" s="5"/>
    </row>
    <row r="4" spans="1:12" x14ac:dyDescent="0.25">
      <c r="B4" t="s">
        <v>0</v>
      </c>
      <c r="D4" t="s">
        <v>1</v>
      </c>
      <c r="F4" s="5"/>
      <c r="H4" t="s">
        <v>14</v>
      </c>
      <c r="J4" t="s">
        <v>15</v>
      </c>
    </row>
    <row r="5" spans="1:12" x14ac:dyDescent="0.25">
      <c r="B5" t="s">
        <v>2</v>
      </c>
      <c r="C5" s="2">
        <v>126000000</v>
      </c>
      <c r="D5" t="s">
        <v>10</v>
      </c>
      <c r="E5" s="2">
        <f xml:space="preserve"> 3%*B2</f>
        <v>39130950</v>
      </c>
      <c r="F5" s="5"/>
      <c r="H5" s="4">
        <f>C5*60%</f>
        <v>75600000</v>
      </c>
      <c r="J5" s="4">
        <f>40%*E5</f>
        <v>15652380</v>
      </c>
    </row>
    <row r="6" spans="1:12" x14ac:dyDescent="0.25">
      <c r="B6" t="s">
        <v>3</v>
      </c>
      <c r="C6" s="2">
        <v>5000000</v>
      </c>
      <c r="D6" t="s">
        <v>13</v>
      </c>
      <c r="E6" s="2">
        <v>526367000</v>
      </c>
      <c r="F6" s="5"/>
      <c r="H6" s="4">
        <f t="shared" ref="H6:H11" si="0">C6*60%</f>
        <v>3000000</v>
      </c>
      <c r="J6" s="4">
        <f t="shared" ref="J6:J8" si="1">40%*E6</f>
        <v>210546800</v>
      </c>
    </row>
    <row r="7" spans="1:12" x14ac:dyDescent="0.25">
      <c r="B7" t="s">
        <v>4</v>
      </c>
      <c r="C7" s="2">
        <v>20000000</v>
      </c>
      <c r="D7" t="s">
        <v>11</v>
      </c>
      <c r="E7" s="2">
        <v>80000000</v>
      </c>
      <c r="F7" s="5"/>
      <c r="H7" s="4">
        <f t="shared" si="0"/>
        <v>12000000</v>
      </c>
      <c r="J7" s="4">
        <f t="shared" si="1"/>
        <v>32000000</v>
      </c>
    </row>
    <row r="8" spans="1:12" x14ac:dyDescent="0.25">
      <c r="B8" t="s">
        <v>5</v>
      </c>
      <c r="C8" s="2">
        <f>20%*B2</f>
        <v>260873000</v>
      </c>
      <c r="D8" t="s">
        <v>12</v>
      </c>
      <c r="E8" s="2">
        <v>12000000</v>
      </c>
      <c r="F8" s="5"/>
      <c r="H8" s="4">
        <f t="shared" si="0"/>
        <v>156523800</v>
      </c>
      <c r="J8" s="4">
        <f t="shared" si="1"/>
        <v>4800000</v>
      </c>
    </row>
    <row r="9" spans="1:12" x14ac:dyDescent="0.25">
      <c r="B9" t="s">
        <v>6</v>
      </c>
      <c r="C9" s="2">
        <v>80000000</v>
      </c>
      <c r="D9">
        <v>5</v>
      </c>
      <c r="F9" s="5"/>
      <c r="H9" s="4">
        <f t="shared" si="0"/>
        <v>48000000</v>
      </c>
    </row>
    <row r="10" spans="1:12" x14ac:dyDescent="0.25">
      <c r="B10" t="s">
        <v>7</v>
      </c>
      <c r="C10" s="2">
        <v>5000000</v>
      </c>
      <c r="F10" s="5"/>
      <c r="H10" s="4">
        <f t="shared" si="0"/>
        <v>3000000</v>
      </c>
    </row>
    <row r="11" spans="1:12" x14ac:dyDescent="0.25">
      <c r="B11" t="s">
        <v>8</v>
      </c>
      <c r="C11" s="2">
        <v>15000000</v>
      </c>
      <c r="F11" s="5"/>
      <c r="H11" s="4">
        <f t="shared" si="0"/>
        <v>9000000</v>
      </c>
    </row>
    <row r="12" spans="1:12" x14ac:dyDescent="0.25">
      <c r="F12" s="5"/>
    </row>
    <row r="13" spans="1:12" x14ac:dyDescent="0.25">
      <c r="C13" s="2">
        <f>SUM(C5:C12)</f>
        <v>511873000</v>
      </c>
      <c r="E13" s="2">
        <f>SUM(E5:E12)</f>
        <v>657497950</v>
      </c>
      <c r="F13" s="5"/>
      <c r="H13" s="4">
        <f>SUM(H5:H11)</f>
        <v>307123800</v>
      </c>
      <c r="J13" s="4">
        <f>SUM(J5:J11)</f>
        <v>262999180</v>
      </c>
      <c r="L13" s="4">
        <f>H13+J13</f>
        <v>570122980</v>
      </c>
    </row>
    <row r="14" spans="1:12" x14ac:dyDescent="0.25">
      <c r="F14" s="5"/>
    </row>
    <row r="15" spans="1:12" x14ac:dyDescent="0.25">
      <c r="E15" s="3">
        <f>E6-250000000</f>
        <v>276367000</v>
      </c>
      <c r="F15" s="5"/>
      <c r="H15">
        <f>310123800-307123800</f>
        <v>3000000</v>
      </c>
    </row>
    <row r="16" spans="1:12" x14ac:dyDescent="0.25">
      <c r="F16" s="5"/>
    </row>
    <row r="17" spans="5:9" x14ac:dyDescent="0.25">
      <c r="F17" s="5"/>
    </row>
    <row r="18" spans="5:9" x14ac:dyDescent="0.25">
      <c r="E18" s="2">
        <v>219125000</v>
      </c>
      <c r="F18" s="5"/>
      <c r="H18" s="2">
        <v>681079209</v>
      </c>
    </row>
    <row r="19" spans="5:9" x14ac:dyDescent="0.25">
      <c r="F19" s="5"/>
    </row>
    <row r="20" spans="5:9" x14ac:dyDescent="0.25">
      <c r="F20" s="5"/>
      <c r="G20" t="s">
        <v>16</v>
      </c>
      <c r="H20" s="4">
        <f>H18-L13</f>
        <v>110956229</v>
      </c>
    </row>
    <row r="21" spans="5:9" x14ac:dyDescent="0.25">
      <c r="F21" s="5"/>
    </row>
    <row r="28" spans="5:9" x14ac:dyDescent="0.25">
      <c r="I28">
        <f>35*3600000</f>
        <v>126000000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SAGA 12</dc:creator>
  <cp:lastModifiedBy>wira sageri</cp:lastModifiedBy>
  <dcterms:created xsi:type="dcterms:W3CDTF">2025-04-14T02:23:39Z</dcterms:created>
  <dcterms:modified xsi:type="dcterms:W3CDTF">2025-05-25T13:05:47Z</dcterms:modified>
</cp:coreProperties>
</file>